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TPusb03\Transfer\Tableau_Data\職域開發專案\DAYLY\台積電\"/>
    </mc:Choice>
  </mc:AlternateContent>
  <xr:revisionPtr revIDLastSave="0" documentId="13_ncr:1_{554776E9-9FBD-4391-A724-D3C7D7F6EA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各管道每日加入人數" sheetId="11" r:id="rId1"/>
    <sheet name="Data_回覆時程" sheetId="8" r:id="rId2"/>
  </sheets>
  <definedNames>
    <definedName name="_xlcn.WorksheetConnection_Data_回覆時程AO1" hidden="1">Data_回覆時程!$A:$O</definedName>
    <definedName name="外部資料_1" localSheetId="0" hidden="1">各管道每日加入人數!$A$2:$E$112</definedName>
    <definedName name="外部資料_2" localSheetId="0" hidden="1">各管道每日加入人數!#REF!</definedName>
  </definedName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加入人數_db8f3143-156b-4917-9b1a-1aa8e2d5809e" name="加入人數" connection="查詢 - 加入人數"/>
          <x15:modelTable id="範圍" name="範圍" connection="WorksheetConnection_Data_回覆時程!$A:$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3" i="11" l="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22" i="11"/>
  <c r="C113" i="11" l="1"/>
  <c r="D113" i="11"/>
  <c r="E113" i="11"/>
  <c r="B113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ModelConnection_外部資料_1" description="資料模型" type="5" refreshedVersion="8" minRefreshableVersion="5" saveData="1">
    <dbPr connection="Data Model Connection" command="加入人數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keepAlive="1" name="ModelConnection_外部資料_11" description="資料模型" type="5" refreshedVersion="6" minRefreshableVersion="5" saveData="1">
    <dbPr connection="Data Model Connection" command="加入人數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2000000}" keepAlive="1" name="ThisWorkbookDataModel" description="資料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00000000-0015-0000-FFFF-FFFF03000000}" name="WorksheetConnection_Data_回覆時程!$A:$O" type="102" refreshedVersion="8" minRefreshableVersion="5">
    <extLst>
      <ext xmlns:x15="http://schemas.microsoft.com/office/spreadsheetml/2010/11/main" uri="{DE250136-89BD-433C-8126-D09CA5730AF9}">
        <x15:connection id="範圍" autoDelete="1">
          <x15:rangePr sourceName="_xlcn.WorksheetConnection_Data_回覆時程AO1"/>
        </x15:connection>
      </ext>
    </extLst>
  </connection>
  <connection id="5" xr16:uid="{00000000-0015-0000-FFFF-FFFF04000000}" keepAlive="1" name="查詢 - Data" description="與活頁簿中 'Data' 查詢的連接。" type="5" refreshedVersion="0" background="1">
    <dbPr connection="Provider=Microsoft.Mashup.OleDb.1;Data Source=$Workbook$;Location=Data;Extended Properties=&quot;&quot;" command="SELECT * FROM [Data]"/>
  </connection>
  <connection id="6" xr16:uid="{00000000-0015-0000-FFFF-FFFF05000000}" keepAlive="1" name="查詢 - Data_加入管道(HR、小卡)" description="與活頁簿中 'Data_加入管道(HR、小卡)' 查詢的連接。" type="5" refreshedVersion="0" background="1">
    <dbPr connection="Provider=Microsoft.Mashup.OleDb.1;Data Source=$Workbook$;Location=Data_加入管道(HR、小卡);Extended Properties=&quot;&quot;" command="SELECT * FROM [Data_加入管道(HR、小卡)]"/>
  </connection>
  <connection id="7" xr16:uid="{00000000-0015-0000-FFFF-FFFF06000000}" keepAlive="1" name="查詢 - Data_加入管道(加總HR、小卡)" description="與活頁簿中 'Data_加入管道(加總HR、小卡)' 查詢的連接。" type="5" refreshedVersion="0" background="1">
    <dbPr connection="Provider=Microsoft.Mashup.OleDb.1;Data Source=$Workbook$;Location=Data_加入管道(加總HR、小卡);Extended Properties=&quot;&quot;" command="SELECT * FROM [Data_加入管道(加總HR、小卡)]"/>
  </connection>
  <connection id="8" xr16:uid="{00000000-0015-0000-FFFF-FFFF07000000}" name="查詢 - 加入人數" description="與活頁簿中 '加入人數' 查詢的連接。" type="100" refreshedVersion="8" minRefreshableVersion="5">
    <extLst>
      <ext xmlns:x15="http://schemas.microsoft.com/office/spreadsheetml/2010/11/main" uri="{DE250136-89BD-433C-8126-D09CA5730AF9}">
        <x15:connection id="803cdf0a-dee2-43ab-97ba-37de9dd113d3"/>
      </ext>
    </extLst>
  </connection>
</connections>
</file>

<file path=xl/sharedStrings.xml><?xml version="1.0" encoding="utf-8"?>
<sst xmlns="http://schemas.openxmlformats.org/spreadsheetml/2006/main" count="3098" uniqueCount="1461">
  <si>
    <t>Ub51cd98fbce5a53f1da4a945bdf98593</t>
  </si>
  <si>
    <t>U099472578ddce3c5b196cc66b972eb4e</t>
  </si>
  <si>
    <t>Ub497b95e731f894f32345abf91d4bcf5</t>
  </si>
  <si>
    <t>Uba0566450bef4a812c3c48702ce97aa7</t>
  </si>
  <si>
    <t>Uf27eb90c06a824926dbdad9a36b27157</t>
  </si>
  <si>
    <t>U1f3510a9395945f02ca8f275bf48dc39</t>
  </si>
  <si>
    <t>U8d553a16533a6f6bad2a3c7bc000b6c3</t>
  </si>
  <si>
    <t>U6f7de0caf2d21b37a445c16473c92fb7</t>
  </si>
  <si>
    <t>U6100071c02af73e470a94767d2bda57d</t>
  </si>
  <si>
    <t>Uac6e6cdd957fef9d8357b6b4dcd2f379</t>
  </si>
  <si>
    <t>U68b50dc621ee83d9d5b717d07bef23ab</t>
  </si>
  <si>
    <t>U2c641cf759ace14bd39782f2635afc06</t>
  </si>
  <si>
    <t>U340958913d31d509e747a56efceeb763</t>
  </si>
  <si>
    <t>U69942ad20f8e328cd8be91e008fdff55</t>
  </si>
  <si>
    <t>U354afff14a3b0464c4ec601956f52605</t>
  </si>
  <si>
    <t>U616616c4e40071c3819edc5cb2fd06bd</t>
  </si>
  <si>
    <t>Ue09895eb303b3f05fb1dd3fcb5f2ce60</t>
  </si>
  <si>
    <t>Uec7f85d1e97a054a5d63e642f966a07b</t>
  </si>
  <si>
    <t>U8034130a30fed5132a14fd244db1e4d3</t>
  </si>
  <si>
    <t>U1a3152962d76932e9fbcd9940b8dfdd3</t>
  </si>
  <si>
    <t>U125fd3c87b631d02e0a05ad1d6ceb1c9</t>
  </si>
  <si>
    <t>U3faafb63c95dac689f6a7a824c11e53d</t>
  </si>
  <si>
    <t>Ue32fd5268d6bce35d7161cf450e111e1</t>
  </si>
  <si>
    <t>U2cd03688ec1d5311eec462908036206a</t>
  </si>
  <si>
    <t>U002520a3219bf16a65ff9675071265e9</t>
  </si>
  <si>
    <t>U1938e5e3dcdae0f6515a1f5071ecfe96</t>
  </si>
  <si>
    <t>U7aac93e1bbb592583fb10c0d7b300988</t>
  </si>
  <si>
    <t>Ud83328cefcfb639058fd80104418ef46</t>
  </si>
  <si>
    <t>Uf884ee637342697d618f71bb75a312b1</t>
  </si>
  <si>
    <t>U248c4350799e5edf94ba10f78d1209ee</t>
  </si>
  <si>
    <t>U0fc27d3fc4066876a143ac5b20fe4d20</t>
  </si>
  <si>
    <t>U2dd723888e2af51778f28ad9809fed75</t>
  </si>
  <si>
    <t>U3765401e1e23e5783abcb82309a15962</t>
  </si>
  <si>
    <t>U1d5f55d542450e79c0e99bc648b672c1</t>
  </si>
  <si>
    <t>Ub0db98eb88b98d28ae87183322f8244c</t>
  </si>
  <si>
    <t>Uac3ec840653cd41324a45f1c41646ae2</t>
  </si>
  <si>
    <t>Ub2fe2c9b6a1a4c63b79242bd631dd2cd</t>
  </si>
  <si>
    <t>Uc73d30119a8b2429af09e88e29fda5bd</t>
  </si>
  <si>
    <t>U73e796e5fd980c073b6fb62909c678fe</t>
  </si>
  <si>
    <t>U915c8dc137710ef5fc0eef14e65faf54</t>
  </si>
  <si>
    <t>Ubab708b119d17467cec5cb5ff96120a3</t>
  </si>
  <si>
    <t>U05de58d93b0261984bdc394e41b8d571</t>
  </si>
  <si>
    <t>U1dffe197e880e3e5cf33e71d4989a939</t>
  </si>
  <si>
    <t>U2c56fbaab1cfb40ff1231b0d4986f80c</t>
  </si>
  <si>
    <t>Uf003498c686b5fff12430dbbcfd9a426</t>
  </si>
  <si>
    <t>U285059d6cd9e66097555b76ed9cdce1e</t>
  </si>
  <si>
    <t>Ud7e9305c69bb96aaff589644d2ad0e3e</t>
  </si>
  <si>
    <t>Uebddf2706204fba001ef720cb82279e1</t>
  </si>
  <si>
    <t>Ubd3041ac1101d9ecd721f18c28e6eb85</t>
  </si>
  <si>
    <t>U52aafee3ad1d85dbf5a2fd2b08e760fc</t>
  </si>
  <si>
    <t>U821bab8778a42e163f2da9e6e250bd75</t>
  </si>
  <si>
    <t>U00343b5c54a396274617c2906356e012</t>
  </si>
  <si>
    <t>U6f3b791f8f4d0e8dc4416bc2f8b5b8fa</t>
  </si>
  <si>
    <t>U636163cd416514eb122ee8b81f8eb117</t>
  </si>
  <si>
    <t>U39940243cfd9e058005704ade79047d7</t>
  </si>
  <si>
    <t>Ufd87babafe3254d7e3e2c6505416e10e</t>
  </si>
  <si>
    <t>Ua9743cd1d33844d7ed8a8bcfccb3ec7d</t>
  </si>
  <si>
    <t>Ue10ac209f775b0c9c17df6d19f0fe104</t>
  </si>
  <si>
    <t>Ue6eb128179f932058fe48d057dba3a52</t>
  </si>
  <si>
    <t>U14e2c89d1a081ed7c1c84bc24e06c9ac</t>
  </si>
  <si>
    <t>U24d105eb30979a100cde4a1e2f5833d9</t>
  </si>
  <si>
    <t>Uc69892bdaae00fa0d1455ab6d4cf7e7e</t>
  </si>
  <si>
    <t>U2ffef1af681137d48889583a2f11190d</t>
  </si>
  <si>
    <t>Ucf69c5450b8a8fc054b52bcd992590c9</t>
  </si>
  <si>
    <t>U6161158912c1e232af50129407557e13</t>
  </si>
  <si>
    <t>Ue48a01c608755c1060d67f28d8df6f3f</t>
  </si>
  <si>
    <t>Ua204bd4de8936bc6fe169a23f61c1e9e</t>
  </si>
  <si>
    <t>Uf1de81939ab6c1ce34d545ec12ecb05f</t>
  </si>
  <si>
    <t>U91b6979e16c9e7871de7585fe1a63bda</t>
  </si>
  <si>
    <t>U26629ff744c687ca6536172d1b8cf5c4</t>
  </si>
  <si>
    <t>Uc3bb96b84c5439990ddec59b1ab6a60f</t>
  </si>
  <si>
    <t>U384f183f315ff14f5ba9ae13cb3cd1e5</t>
  </si>
  <si>
    <t>U9a1a14549e0c4d8e0e778e77c1a31bcf</t>
  </si>
  <si>
    <t>Ufb2c3ab23a9f52c28264c6c41b213b3a</t>
  </si>
  <si>
    <t>U71dadee931da4cdc23d8fdf184d585b2</t>
  </si>
  <si>
    <t>Ud9f1c4551dfb5996d62c6fc9d8048177</t>
  </si>
  <si>
    <t>U4d2bfbc9de75c5119ac0b93836983585</t>
  </si>
  <si>
    <t>U2495d5a6c375814c8bd391d6f5ea2dc5</t>
  </si>
  <si>
    <t>U7797a18de564e565150d2e8c1e0da424</t>
  </si>
  <si>
    <t>U6e1182777f64b96db05e882d685cf7f8</t>
  </si>
  <si>
    <t>Ue4b977104bae7a93a559183453334d0d</t>
  </si>
  <si>
    <t>U410e8e6cb7f3d0d22da7ea329dff2022</t>
  </si>
  <si>
    <t>Ud8b0bb7a07c1316424999531310f20fc</t>
  </si>
  <si>
    <t>U409003b34bb4454cb4ee5f8e80fc232c</t>
  </si>
  <si>
    <t>U4c542ab024f550c940cd626ee3e77437</t>
  </si>
  <si>
    <t>U917f7a85cc14b13d5f73b9491dafff1d</t>
  </si>
  <si>
    <t>Uea6a19764b0db292147aff9bc09aa1dc</t>
  </si>
  <si>
    <t>Uf9155e3eff2f10fe3b336f2161dadb24</t>
  </si>
  <si>
    <t>U161c4ceaac3ff4c19ad981fc8071bb1a</t>
  </si>
  <si>
    <t>U2ce9a9e7e7dc8fe6d8146e5a28e8835a</t>
  </si>
  <si>
    <t>U5808b2dc7c6221d3a3372bfd4421f563</t>
  </si>
  <si>
    <t>U7077719871a4e20607a3bb6acc8f4f00</t>
  </si>
  <si>
    <t>Ub0bd010d7224f8a46d379a9aaca1eab0</t>
  </si>
  <si>
    <t>Ub35adccbb4c8728341fc3255bd05f7a0</t>
  </si>
  <si>
    <t>Uf7a81d59b42db18b23efa513f42894bd</t>
  </si>
  <si>
    <t>U86551a570452763e4a7558bd0b4ee5fd</t>
  </si>
  <si>
    <t>Uf39c9de6475c17d8e81a82ab940589da</t>
  </si>
  <si>
    <t>Ueeedfc8961a86c6849ebb939f81293fa</t>
  </si>
  <si>
    <t>加入LINE OA日期</t>
  </si>
  <si>
    <t>U9d682796f05a0bf40a243ce81c963102</t>
  </si>
  <si>
    <t>U622cadd930db6393b7891b8d56e641fb</t>
  </si>
  <si>
    <t>U63faf0112b19cc8e0855ed0760b499c6</t>
  </si>
  <si>
    <t>Uacdd2aea511bba0cf18963db301fde84</t>
  </si>
  <si>
    <t>Ub335db589d882cdb612f13d4d3ed8650</t>
  </si>
  <si>
    <t>U0cb7d01b36ac53fc55d25d8c79efeacb</t>
  </si>
  <si>
    <t>U0b9ce6fbae6833e602636fe62b2fe2c3</t>
  </si>
  <si>
    <t>U7a8e3deb884162a5563f4bd3deda4ab7</t>
  </si>
  <si>
    <t>Udfdb4e47c6cf3376756034bfecdb1c0c</t>
  </si>
  <si>
    <t>U46b8da4133367978de0c246b65874f3d</t>
  </si>
  <si>
    <t>U1f1886df25cdccfa36576d4c070c43f5</t>
  </si>
  <si>
    <t>U5575d0acda7b7905473914b858268e49</t>
  </si>
  <si>
    <t>U1e17a6d8763e5c5a19f21339edbab515</t>
  </si>
  <si>
    <t>Udc56d08ee83386887247889008279f95</t>
  </si>
  <si>
    <t>U2583d19346dc1e27b1abf8ade94feabc</t>
  </si>
  <si>
    <t>U19464d1270d5b1390e917fb79dc7728c</t>
  </si>
  <si>
    <t>U830d268cea6556ded182c0726dfff2fa</t>
  </si>
  <si>
    <t>U0125f2984cb042810ef73e9829b513f8</t>
  </si>
  <si>
    <t>U8014836188ef4043d35df237271e8513</t>
  </si>
  <si>
    <t>U3f95f2d3423d9284fe5c31b76c3d9ab2</t>
  </si>
  <si>
    <t>U06d9059862eb0c7606ea557709bf6414</t>
  </si>
  <si>
    <t>U0e505b3544f874d0cc6d57f1b9b28b10</t>
  </si>
  <si>
    <t>U4b5050c450469205ccf40ce284103b0e</t>
  </si>
  <si>
    <t>U6ae628996648320460b419e699f7ad89</t>
  </si>
  <si>
    <t>Ua519508ec7698802d077939876bde1d4</t>
  </si>
  <si>
    <t>Ubdab2bfa0fa7552eb5336a07408c5f60</t>
  </si>
  <si>
    <t>U4fa497a2ca5e544ef2f2e0430b23ff06</t>
  </si>
  <si>
    <t>DEPT_NM</t>
  </si>
  <si>
    <t>AREA_NM</t>
  </si>
  <si>
    <t>AGENCY_NAME</t>
  </si>
  <si>
    <t>AGENT_NUMBER</t>
  </si>
  <si>
    <t>SURNAME</t>
  </si>
  <si>
    <t>AREA</t>
  </si>
  <si>
    <t>CUSTOMER_UUID</t>
  </si>
  <si>
    <t>CUST_NAME</t>
  </si>
  <si>
    <t>LINE_UUID</t>
  </si>
  <si>
    <t>O2O_UUID</t>
  </si>
  <si>
    <t>預約時間</t>
  </si>
  <si>
    <t>回覆時間</t>
  </si>
  <si>
    <t>回覆天數</t>
  </si>
  <si>
    <t>是否建檔</t>
  </si>
  <si>
    <t>非測試</t>
  </si>
  <si>
    <t>高屏區域</t>
  </si>
  <si>
    <t>高屏業務一區</t>
  </si>
  <si>
    <t>高宏通訊處</t>
  </si>
  <si>
    <t>陳Ｏ綪</t>
  </si>
  <si>
    <t>F22</t>
  </si>
  <si>
    <t>494DE0F03B9B017AE063AC100136EA57</t>
  </si>
  <si>
    <t>林Ｏ樺</t>
  </si>
  <si>
    <t>CEFCC7A7-46F2-483C-9A8D-AF43E9FCA7BD</t>
  </si>
  <si>
    <t>桃竹區域</t>
  </si>
  <si>
    <t>桃園業務區</t>
  </si>
  <si>
    <t>金躍通訊處</t>
  </si>
  <si>
    <t>李Ｏ潔</t>
  </si>
  <si>
    <t>F20</t>
  </si>
  <si>
    <t>493BB7C119D2013CE063AC1001366A69</t>
  </si>
  <si>
    <t>林Ｏ涵</t>
  </si>
  <si>
    <t>U59cc37db2e01ec6b706a73970348abb0</t>
  </si>
  <si>
    <t>119A15B4-57A0-484C-ACDE-3FECAEBCA48C</t>
  </si>
  <si>
    <t>瑞興通訊處</t>
  </si>
  <si>
    <t>王Ｏ真</t>
  </si>
  <si>
    <t>F12P8</t>
  </si>
  <si>
    <t>490A1FF5136202C4E063AC1001366522</t>
  </si>
  <si>
    <t>葉Ｏ鵬</t>
  </si>
  <si>
    <t>U5f6f506bedbd10466ccc81ef467189c7</t>
  </si>
  <si>
    <t>640D20B3-46DC-4454-AE53-62A3FEA603D2</t>
  </si>
  <si>
    <t>邱Ｏ娟</t>
  </si>
  <si>
    <t>490730FF1CC00102E063AC1001363808</t>
  </si>
  <si>
    <t>洪Ｏ霖</t>
  </si>
  <si>
    <t>U05913edbf05e519898de4717beb39a95</t>
  </si>
  <si>
    <t>5BA86180-DC88-4320-A542-C4B1E02DE945</t>
  </si>
  <si>
    <t>新竹業務區</t>
  </si>
  <si>
    <t>新竹直轄通訊處</t>
  </si>
  <si>
    <t>曾Ｏ苹</t>
  </si>
  <si>
    <t>F3</t>
  </si>
  <si>
    <t>490176B187DB01A2E063AC100136FB6D</t>
  </si>
  <si>
    <t>劉Ｏ洋</t>
  </si>
  <si>
    <t>Uad97d02b431ee5ddae03fd983c9877bf</t>
  </si>
  <si>
    <t>9EAEE956-2B6E-4C82-8A3B-9A0CF3927A68</t>
  </si>
  <si>
    <t>台南區域</t>
  </si>
  <si>
    <t>台南業務一區</t>
  </si>
  <si>
    <t>今誠通訊處</t>
  </si>
  <si>
    <t>郭Ｏ云</t>
  </si>
  <si>
    <t>F18B</t>
  </si>
  <si>
    <t>48E250579A2001E8E063AC1001361D2E</t>
  </si>
  <si>
    <t>柯Ｏ偉</t>
  </si>
  <si>
    <t>U2aaa47d81e476ef6e62d957cb0e3ccad</t>
  </si>
  <si>
    <t>C81E15BD-6EAB-497F-BCBD-9C1B11780AA2</t>
  </si>
  <si>
    <t>金達通訊處</t>
  </si>
  <si>
    <t>蔡Ｏ珍</t>
  </si>
  <si>
    <t>F14P5</t>
  </si>
  <si>
    <t>李Ｏ璇</t>
  </si>
  <si>
    <t>7712D067-82F0-4DD3-901B-282E70ADCDE0</t>
  </si>
  <si>
    <t>孔明通訊處</t>
  </si>
  <si>
    <t>顏Ｏ如</t>
  </si>
  <si>
    <t>F12P7</t>
  </si>
  <si>
    <t>48CE32808C1801CAE063AC1001364098</t>
  </si>
  <si>
    <t>張Ｏ瑜</t>
  </si>
  <si>
    <t>8EBFAF50-425F-4C47-AE57-F22266B10AA1</t>
  </si>
  <si>
    <t>NULL</t>
  </si>
  <si>
    <t>徐Ｏ吟</t>
  </si>
  <si>
    <t>48C78F042D8401CCE063AC10013629F8</t>
  </si>
  <si>
    <t>游Ｏ琳</t>
  </si>
  <si>
    <t>98C398F0-E6BB-4E3E-86D8-8AC41C3169DF</t>
  </si>
  <si>
    <t>立捷通訊處</t>
  </si>
  <si>
    <t>徐Ｏ慧</t>
  </si>
  <si>
    <t>F18A</t>
  </si>
  <si>
    <t>48C564ABB94C016CE063AC1001361131</t>
  </si>
  <si>
    <t>蔡Ｏ屏</t>
  </si>
  <si>
    <t>D8875F44-38DE-45C5-B998-F25E3CD9F373</t>
  </si>
  <si>
    <t>48B50C6C970F01CAE063AC1001360A5D</t>
  </si>
  <si>
    <t>黃Ｏ惠</t>
  </si>
  <si>
    <t>FA4A7CA3-892C-472B-B14E-58EA3228F294</t>
  </si>
  <si>
    <t>中嘉區域</t>
  </si>
  <si>
    <t>台中業務二區</t>
  </si>
  <si>
    <t>菁業通訊處</t>
  </si>
  <si>
    <t>賴Ｏ真</t>
  </si>
  <si>
    <t>F15A</t>
  </si>
  <si>
    <t>4875A0264BA001F4E063AC1001368A37</t>
  </si>
  <si>
    <t>陳Ｏ珊</t>
  </si>
  <si>
    <t>2BF22BD3-A1C7-4C29-AFF8-611D88951637</t>
  </si>
  <si>
    <t>許Ｏ智</t>
  </si>
  <si>
    <t>486643068D3E01E4E063AC100136831E</t>
  </si>
  <si>
    <t>汪Ｏ明</t>
  </si>
  <si>
    <t>4E897C7E-5BD0-44A6-9E52-56DA355650F6</t>
  </si>
  <si>
    <t>48586DBA9D1F0266E063AC100136187E</t>
  </si>
  <si>
    <t>葉Ｏ棻</t>
  </si>
  <si>
    <t>43CB5A28-0751-41E2-B8CB-3ACDC196C986</t>
  </si>
  <si>
    <t>4857972CA30A013CE063AC1001365D94</t>
  </si>
  <si>
    <t>龔Ｏ豪</t>
  </si>
  <si>
    <t>7E526214-FF60-4B45-8FB1-F3F67334B601</t>
  </si>
  <si>
    <t>4857972CA23E013CE063AC1001365D94</t>
  </si>
  <si>
    <t>蔡Ｏ如</t>
  </si>
  <si>
    <t>A12C22FC-9476-4FE8-AF44-3E27DD3E8646</t>
  </si>
  <si>
    <t>林Ｏ美</t>
  </si>
  <si>
    <t>4857972CA292013CE063AC1001365D94</t>
  </si>
  <si>
    <t>吳Ｏ儒</t>
  </si>
  <si>
    <t>1489F570-7D9F-486E-A2B9-AEF311B40662</t>
  </si>
  <si>
    <t>4857735FA7800270E063AC10013683EE</t>
  </si>
  <si>
    <t>郭Ｏ裕</t>
  </si>
  <si>
    <t>4F480D94-1CB8-4553-BC1E-AB96B785D0EE</t>
  </si>
  <si>
    <t>483F24AAB15D01B8E063AC1001363E5F</t>
  </si>
  <si>
    <t>羅Ｏ駿</t>
  </si>
  <si>
    <t>DF10EAE5-05D2-4E12-8692-53CC9EDA7698</t>
  </si>
  <si>
    <t>江Ｏ琳</t>
  </si>
  <si>
    <t>483E95C132100156E063AC100136F236</t>
  </si>
  <si>
    <t>吳Ｏ元</t>
  </si>
  <si>
    <t>9A17FF5C-7A2C-470F-8E44-909C32C198F2</t>
  </si>
  <si>
    <t>北大通訊處</t>
  </si>
  <si>
    <t>彭Ｏ萍</t>
  </si>
  <si>
    <t>F2/F5</t>
  </si>
  <si>
    <t>484C6A185BE302B4E063AC1001365306</t>
  </si>
  <si>
    <t>李Ｏ庭</t>
  </si>
  <si>
    <t>EF411D07-84DD-4874-9B63-CDEE3F5DD3E2</t>
  </si>
  <si>
    <t>林Ｏ婷</t>
  </si>
  <si>
    <t>F12P4</t>
  </si>
  <si>
    <t>48507738AC1A0158E063AC100136794C</t>
  </si>
  <si>
    <t>林Ｏ強</t>
  </si>
  <si>
    <t>F59CCC47-63B2-49B3-9EC1-27EC7332ABCF</t>
  </si>
  <si>
    <t>七賢通訊處</t>
  </si>
  <si>
    <t>張Ｏ翃</t>
  </si>
  <si>
    <t>F18P8</t>
  </si>
  <si>
    <t>48507738AC0F0158E063AC100136794C</t>
  </si>
  <si>
    <t>王Ｏ棋</t>
  </si>
  <si>
    <t>89D2FA81-CAFB-4FB7-82C8-22B03BDCE1FD</t>
  </si>
  <si>
    <t>巨朋通訊處</t>
  </si>
  <si>
    <t>劉Ｏ晴</t>
  </si>
  <si>
    <t>F12P1</t>
  </si>
  <si>
    <t>48495756D3F40198E063AC10013626F1</t>
  </si>
  <si>
    <t>鄧Ｏ</t>
  </si>
  <si>
    <t>FE53CF3E-6617-402F-BC72-B8A267435F6E</t>
  </si>
  <si>
    <t>台中業務一區</t>
  </si>
  <si>
    <t>日兆通訊處</t>
  </si>
  <si>
    <t>施Ｏ娟</t>
  </si>
  <si>
    <t>F15B</t>
  </si>
  <si>
    <t>483F24AAAD4E01B8E063AC1001363E5F</t>
  </si>
  <si>
    <t>葉Ｏ菲</t>
  </si>
  <si>
    <t>E72AC71D-6533-4E69-8598-CC6EB1F32311</t>
  </si>
  <si>
    <t>48340C545C03028CE063AC100136C3AA</t>
  </si>
  <si>
    <t>涂Ｏ和</t>
  </si>
  <si>
    <t>D79DB4F7-E396-4EA5-AB8A-D2E07CCBCBB2</t>
  </si>
  <si>
    <t>4839D5ABD9EE024EE063AC10013605D5</t>
  </si>
  <si>
    <t>鍾Ｏ文</t>
  </si>
  <si>
    <t>F89ABBBA-D45E-46E0-8501-36F0965AE8C7</t>
  </si>
  <si>
    <t>陳Ｏ竹</t>
  </si>
  <si>
    <t>48141DB6F1FD01C8E063AC1001366452</t>
  </si>
  <si>
    <t>歐Ｏ慧</t>
  </si>
  <si>
    <t>B77A6245-119D-4E23-AEE6-5C87F4AE263C</t>
  </si>
  <si>
    <t>台南通訊處</t>
  </si>
  <si>
    <t>許Ｏ銓</t>
  </si>
  <si>
    <t>F14P1</t>
  </si>
  <si>
    <t>4820B059271C01A2E063AC100136557E</t>
  </si>
  <si>
    <t>謝Ｏ玲</t>
  </si>
  <si>
    <t>53AC4708-5BF7-4F1B-8D17-11695CB1CB53</t>
  </si>
  <si>
    <t>福鵬直轄通訊處</t>
  </si>
  <si>
    <t>陳Ｏ葳</t>
  </si>
  <si>
    <t>47FCA59556100226E063AC100136CA47</t>
  </si>
  <si>
    <t>陳Ｏ</t>
  </si>
  <si>
    <t>5C18AA08-3C5D-4443-A44C-B406D9C04339</t>
  </si>
  <si>
    <t>4825B7D25D1301CCE063AC1001364E15</t>
  </si>
  <si>
    <t>簡Ｏ淵</t>
  </si>
  <si>
    <t>0D1517D3-A1B2-41A1-A4EC-F41965C6A9CE</t>
  </si>
  <si>
    <t>蔡Ｏ玲</t>
  </si>
  <si>
    <t>4804547EB7AB016EE063AC100136A58E</t>
  </si>
  <si>
    <t>羅Ｏ軒</t>
  </si>
  <si>
    <t>AB6CA58D-2AFA-4971-B7B1-545363245071</t>
  </si>
  <si>
    <t>江Ｏ宸</t>
  </si>
  <si>
    <t>47E2A9A99E420126E063AC1001365C48</t>
  </si>
  <si>
    <t>郭Ｏ滕</t>
  </si>
  <si>
    <t>E82EFC12-170D-4A17-8719-A8CDD63218B7</t>
  </si>
  <si>
    <t>4857735DB27F02BEE063AC10013634C9</t>
  </si>
  <si>
    <t>賴Ｏ鋒</t>
  </si>
  <si>
    <t>23265FEE-0C6C-4795-A3A6-73F8C7812716</t>
  </si>
  <si>
    <t>4857735DB25702BEE063AC10013634C9</t>
  </si>
  <si>
    <t>唐Ｏ玲</t>
  </si>
  <si>
    <t>831588E3-1140-46A0-A534-92360C4CF23C</t>
  </si>
  <si>
    <t>台南業務二區</t>
  </si>
  <si>
    <t>冠英通訊處</t>
  </si>
  <si>
    <t>吳Ｏ芸</t>
  </si>
  <si>
    <t>AP8</t>
  </si>
  <si>
    <t>4857735DB29E02BEE063AC10013634C9</t>
  </si>
  <si>
    <t>9E9A0796-CE7D-4E0F-A29A-B5BE0CFA1CF1</t>
  </si>
  <si>
    <t>張Ｏ華</t>
  </si>
  <si>
    <t>4857735DB2CC02BEE063AC10013634C9</t>
  </si>
  <si>
    <t>BE1EEF53-D47A-4007-9C7A-04432FE29100</t>
  </si>
  <si>
    <t>4857735DB24102BEE063AC10013634C9</t>
  </si>
  <si>
    <t>張Ｏ倫</t>
  </si>
  <si>
    <t>0CF9D5E4-3452-47FB-8BD1-5C5DABCE120C</t>
  </si>
  <si>
    <t>4857735DB26B02BEE063AC10013634C9</t>
  </si>
  <si>
    <t>B161FC9E-202A-40D0-A565-BBAE09A8328F</t>
  </si>
  <si>
    <t>金豪通訊處</t>
  </si>
  <si>
    <t>黃Ｏ真</t>
  </si>
  <si>
    <t>F14P7</t>
  </si>
  <si>
    <t>47C52FDB118A0168E063AC100136D04E</t>
  </si>
  <si>
    <t>黃Ｏ豪</t>
  </si>
  <si>
    <t>A8221AD6-EA0E-4786-B1B5-2A4584A1413D</t>
  </si>
  <si>
    <t>47BF993656850150E063AC100136C1BB</t>
  </si>
  <si>
    <t>李Ｏ正</t>
  </si>
  <si>
    <t>9D5A7E54-9DE0-433F-95A6-B115B746F91B</t>
  </si>
  <si>
    <t>南英通訊處</t>
  </si>
  <si>
    <t>潘Ｏ芸</t>
  </si>
  <si>
    <t>47B17D2FBCA701EAE063AC100136CBF4</t>
  </si>
  <si>
    <t>郭Ｏ伶</t>
  </si>
  <si>
    <t>C47EC48A-343B-43FA-A959-53B0F79BD259</t>
  </si>
  <si>
    <t>47B17D2FBCB101EAE063AC100136CBF4</t>
  </si>
  <si>
    <t>梁Ｏ霖</t>
  </si>
  <si>
    <t>362106DC-276E-4FFC-A096-B211DF25E34A</t>
  </si>
  <si>
    <t>47B17D2FBF8001D6E063AC100136CB27</t>
  </si>
  <si>
    <t>楊Ｏ成</t>
  </si>
  <si>
    <t>755D3019-2D8B-4BA1-9815-37571E05125C</t>
  </si>
  <si>
    <t>47AC2E2E4DDF021AE063AC1001368573</t>
  </si>
  <si>
    <t>紀Ｏ茗</t>
  </si>
  <si>
    <t>861C772D-247E-4F8C-9533-B1C3333B0466</t>
  </si>
  <si>
    <t>47AC2E2E4DDA021AE063AC1001368573</t>
  </si>
  <si>
    <t>吳Ｏ達</t>
  </si>
  <si>
    <t>973B349C-8DCB-4C81-860A-D38D931BE449</t>
  </si>
  <si>
    <t>476E6F133F6A0192E063AC100136FCD1</t>
  </si>
  <si>
    <t>李Ｏ君</t>
  </si>
  <si>
    <t>AA8419B7-B12C-404B-A6EF-D513486161C5</t>
  </si>
  <si>
    <t>47931D74DCB4018EE063AC100136248B</t>
  </si>
  <si>
    <t>72B58A02-B812-4433-AE0A-C875B884E09F</t>
  </si>
  <si>
    <t>李Ｏ琿</t>
  </si>
  <si>
    <t>4793506D0E1A01AEE063AC1001361954</t>
  </si>
  <si>
    <t>蔡ＯＯ</t>
  </si>
  <si>
    <t>38819E61-D10A-4E06-B096-5071DE8FF8C5</t>
  </si>
  <si>
    <t>4793506D0E0B01AEE063AC1001361954</t>
  </si>
  <si>
    <t>李Ｏ銘</t>
  </si>
  <si>
    <t>119A83B9-CF70-4F06-A4BF-CD4B0440AC91</t>
  </si>
  <si>
    <t>476F8D266F46019CE063AC100136B842</t>
  </si>
  <si>
    <t>陳Ｏ樺</t>
  </si>
  <si>
    <t>9C95F225-3448-481C-A2F8-1BA89C675797</t>
  </si>
  <si>
    <t>蘇Ｏ鳳</t>
  </si>
  <si>
    <t>F6</t>
  </si>
  <si>
    <t>47605301BFE7029CE063AC1001366D2C</t>
  </si>
  <si>
    <t>鄭Ｏ宏</t>
  </si>
  <si>
    <t>A2B41147-B5F4-421C-B78D-B928F82E0923</t>
  </si>
  <si>
    <t>大銘通訊處</t>
  </si>
  <si>
    <t>陳Ｏ俐</t>
  </si>
  <si>
    <t>AP5B</t>
  </si>
  <si>
    <t>462C91A8A5A10176E063AC100136F182</t>
  </si>
  <si>
    <t>黃Ｏ涵</t>
  </si>
  <si>
    <t>9B56C4F1-0AC9-4667-8D6B-6E692A4D7B67</t>
  </si>
  <si>
    <t>蔡Ｏ伶</t>
  </si>
  <si>
    <t>474BC9DD473E017CE063AC1001363874</t>
  </si>
  <si>
    <t>黃Ｏ姐</t>
  </si>
  <si>
    <t>5706F7C5-3B11-4F27-AE3B-8C522A2F7AFF</t>
  </si>
  <si>
    <t>太陽通訊處</t>
  </si>
  <si>
    <t>廖Ｏ庭</t>
  </si>
  <si>
    <t>AP6B</t>
  </si>
  <si>
    <t>47308C1E388502D6E063AC1001361FA6</t>
  </si>
  <si>
    <t>徐Ｏ凱</t>
  </si>
  <si>
    <t>483AD3D2-885C-4BA9-A35B-F956C715DAFB</t>
  </si>
  <si>
    <t>471EAA79891401A4E063AC100136D84C</t>
  </si>
  <si>
    <t>楊Ｏ宏</t>
  </si>
  <si>
    <t>961B2AE5-271C-4BE0-890D-C33EEA9AC401</t>
  </si>
  <si>
    <t>471F15C9A9A6023AE063AC100136CDB7</t>
  </si>
  <si>
    <t>何Ｏ容</t>
  </si>
  <si>
    <t>C515EF1C-B04D-4902-8513-5CE6B6F0FC69</t>
  </si>
  <si>
    <t>471A6A9B5C280130E063AC1001366B3F</t>
  </si>
  <si>
    <t>蕭Ｏ佐</t>
  </si>
  <si>
    <t>CD1C2822-0521-41A0-88A6-A7777C220A64</t>
  </si>
  <si>
    <t>471A6A9B5C070130E063AC1001366B3F</t>
  </si>
  <si>
    <t>方Ｏ華</t>
  </si>
  <si>
    <t>98C167DA-7553-433A-BED4-6DDC4A57278E</t>
  </si>
  <si>
    <t>徐Ｏ婕</t>
  </si>
  <si>
    <t>46FB527D66490286E063AC100136A1D2</t>
  </si>
  <si>
    <t>呂Ｏ芬</t>
  </si>
  <si>
    <t>37CFBC3B-DBC7-4C53-AB5C-73743528EE3F</t>
  </si>
  <si>
    <t>金峰通訊處</t>
  </si>
  <si>
    <t>羅Ｏ捷</t>
  </si>
  <si>
    <t>AP3龍潭廠</t>
  </si>
  <si>
    <t>46D3ED777B510144E063AC100136FA25</t>
  </si>
  <si>
    <t>潘ＯＯ</t>
  </si>
  <si>
    <t>C0A4D953-B3E8-4989-B9FB-66098D336889</t>
  </si>
  <si>
    <t>46F769213B66011CE063AC100136C1B8</t>
  </si>
  <si>
    <t>陳Ｏ慧</t>
  </si>
  <si>
    <t>D0C83DFC-B486-40CD-80CB-10F600288477</t>
  </si>
  <si>
    <t>大昇通訊處</t>
  </si>
  <si>
    <t>劉Ｏ綾</t>
  </si>
  <si>
    <t>F12P6</t>
  </si>
  <si>
    <t>46F8F288F4590254E063AC100136F3A1</t>
  </si>
  <si>
    <t>楊Ｏ銘</t>
  </si>
  <si>
    <t>32AD6CAF-8D8F-4A01-A05A-84D9F426D37C</t>
  </si>
  <si>
    <t>46F76921252C011CE063AC100136C1B8</t>
  </si>
  <si>
    <t>吳Ｏ遠</t>
  </si>
  <si>
    <t>F506E453-E926-4C25-BCB5-F8072CAB5D67</t>
  </si>
  <si>
    <t>黃Ｏ衡</t>
  </si>
  <si>
    <t>46E929538EE20250E063AC1001361812</t>
  </si>
  <si>
    <t>陳Ｏ錡</t>
  </si>
  <si>
    <t>66CDA0E4-CD41-44A4-BA52-DE5A0CBE2A6C</t>
  </si>
  <si>
    <t>金冠通訊處</t>
  </si>
  <si>
    <t>蔡Ｏ貞</t>
  </si>
  <si>
    <t>F14P3</t>
  </si>
  <si>
    <t>46DE2011EAA801C6E063AC100136394D</t>
  </si>
  <si>
    <t>楊Ｏ邦</t>
  </si>
  <si>
    <t>A3694572-2BD2-41C7-846E-6B6AA2F96D5C</t>
  </si>
  <si>
    <t>46CE7AA575C501F2E063AC100136E188</t>
  </si>
  <si>
    <t>劉Ｏ玄</t>
  </si>
  <si>
    <t>222AD845-5D22-4872-B3D7-1B2F77CB8C4E</t>
  </si>
  <si>
    <t>張Ｏ凱</t>
  </si>
  <si>
    <t>46CD5C8A0FD50142E063AC1001360755</t>
  </si>
  <si>
    <t>張Ｏ依</t>
  </si>
  <si>
    <t>16B3722B-94AB-403F-9A03-9DF219867AB3</t>
  </si>
  <si>
    <t>46CE331C9DAB01A0E063AC1001362AA6</t>
  </si>
  <si>
    <t>萬Ｏ秀</t>
  </si>
  <si>
    <t>1F5B3060-7FB2-4A6D-AC0F-D3A998D52F62</t>
  </si>
  <si>
    <t>46D3ED6BC4DD0144E063AC100136FA25</t>
  </si>
  <si>
    <t>蘇Ｏ嘉</t>
  </si>
  <si>
    <t>62FC125A-6E2F-4267-826D-A1AA05405CC6</t>
  </si>
  <si>
    <t>周Ｏ君</t>
  </si>
  <si>
    <t>46D2AB85B66A0134E063AC100136AABF</t>
  </si>
  <si>
    <t>江Ｏ峰</t>
  </si>
  <si>
    <t>68655187-E68F-449D-8DC0-33844E0DFBA9</t>
  </si>
  <si>
    <t>46CA49C07AC901DEE063AC100136A8BB</t>
  </si>
  <si>
    <t>楊Ｏ雅</t>
  </si>
  <si>
    <t>597C784B-34A2-4238-A9D6-B876649834DE</t>
  </si>
  <si>
    <t>46CA49C07AD101DEE063AC100136A8BB</t>
  </si>
  <si>
    <t>9025AB29-8EDB-4818-A51B-7D5DF76E6B32</t>
  </si>
  <si>
    <t>46C0A641E822017CE063AC10013691DD</t>
  </si>
  <si>
    <t>游Ｏ賢</t>
  </si>
  <si>
    <t>A7AD1436-579A-40BD-BCB0-0A55A2294514</t>
  </si>
  <si>
    <t>469846DDD920018EE063AC1001369E21</t>
  </si>
  <si>
    <t>蔡Ｏ霖</t>
  </si>
  <si>
    <t>73E8732E-9BD9-4582-B111-1D118F6D1FC4</t>
  </si>
  <si>
    <t>4696BD5437BA018EE063AC100136AD1F</t>
  </si>
  <si>
    <t>韓Ｏ衛</t>
  </si>
  <si>
    <t>AA21683E-CF39-4265-BA5A-12CE6CC58691</t>
  </si>
  <si>
    <t>4691D995865701A0E063AC100136E570</t>
  </si>
  <si>
    <t>黃Ｏ淳</t>
  </si>
  <si>
    <t>C795723C-825B-40D1-99C6-28DE5F9A93DC</t>
  </si>
  <si>
    <t>468CAE64EA030268E063AC100136279B</t>
  </si>
  <si>
    <t>3AD8677C-C931-4FC5-B9C9-2E1046842542</t>
  </si>
  <si>
    <t>467E034572E501D6E063AC100136ADEF</t>
  </si>
  <si>
    <t>蘇Ｏ成</t>
  </si>
  <si>
    <t>9E8ECA9D-5685-4770-BE5F-31B4CACFD7DC</t>
  </si>
  <si>
    <t>嘉義業務區</t>
  </si>
  <si>
    <t>嘉誠通訊處</t>
  </si>
  <si>
    <t>林Ｏ均</t>
  </si>
  <si>
    <t>AP7</t>
  </si>
  <si>
    <t>467D08F464EC0100E063AC10013676C1</t>
  </si>
  <si>
    <t>黃Ｏ滿</t>
  </si>
  <si>
    <t>4296D6F3-ACCA-45C0-BA0B-FADFEBE5E45E</t>
  </si>
  <si>
    <t>4671FFABCAA402BAE063AC100136E8BB</t>
  </si>
  <si>
    <t>陳Ｏ軒</t>
  </si>
  <si>
    <t>79B6C366-9CC9-4F07-8E1F-DC032A7AAE00</t>
  </si>
  <si>
    <t>林Ｏ欣</t>
  </si>
  <si>
    <t>467E03452F5E01D6E063AC100136ADEF</t>
  </si>
  <si>
    <t>張Ｏ賢</t>
  </si>
  <si>
    <t>AD318EE0-48D1-4954-B009-20C730BE0391</t>
  </si>
  <si>
    <t>467E03452F5901D6E063AC100136ADEF</t>
  </si>
  <si>
    <t>林Ｏ璇</t>
  </si>
  <si>
    <t>6E335534-FB64-46A6-AD30-421A37645F89</t>
  </si>
  <si>
    <t>467BA353AC5F011CE063AC100136341B</t>
  </si>
  <si>
    <t>陳Ｏ韻</t>
  </si>
  <si>
    <t>E4610BB7-0D0C-46D5-86B5-DEE5EF37446E</t>
  </si>
  <si>
    <t>46699DEECF3D0246E063AC1001368078</t>
  </si>
  <si>
    <t>曾Ｏ琪</t>
  </si>
  <si>
    <t>E044DC1A-165F-4161-A28D-349281C10D6F</t>
  </si>
  <si>
    <t>謝Ｏ霖</t>
  </si>
  <si>
    <t>F7</t>
  </si>
  <si>
    <t>46514F2ECD4A01EAE063AC1001367136</t>
  </si>
  <si>
    <t>家Ｏ</t>
  </si>
  <si>
    <t>2C43E09B-F838-4BEC-B173-B37D967C5852</t>
  </si>
  <si>
    <t>DoubleO2OTYPE</t>
  </si>
  <si>
    <t>1D44B8D8-B1DE-4BC8-9ABF-9BB7C5C6BAEA</t>
  </si>
  <si>
    <t>4641CD992EE702E0E063AC100136E4F6</t>
  </si>
  <si>
    <t>焦Ｏ</t>
  </si>
  <si>
    <t>5EDB64CF-E5EB-4320-9D6D-64F02AD853B9</t>
  </si>
  <si>
    <t>4641CD992EC902E0E063AC100136E4F6</t>
  </si>
  <si>
    <t>張Ｏ德</t>
  </si>
  <si>
    <t>F771D1A8-D816-43D5-8C46-2A2A4D014913</t>
  </si>
  <si>
    <t>4641CD992EBA02E0E063AC100136E4F6</t>
  </si>
  <si>
    <t>劉Ｏ敏</t>
  </si>
  <si>
    <t>84E64219-5E62-43A6-9EA9-9BE8A7503746</t>
  </si>
  <si>
    <t>464067E4D3A30166E063AC1001369AA0</t>
  </si>
  <si>
    <t>林ＯＯ</t>
  </si>
  <si>
    <t>CB3457DA-BE5E-4221-9CE3-197AFF98AFD7</t>
  </si>
  <si>
    <t>4643C2337E7702AEE063AC1001364CFB</t>
  </si>
  <si>
    <t>陳Ｏ宏</t>
  </si>
  <si>
    <t>12933CF6-A8C6-4A08-97AF-B5633F63CDBF</t>
  </si>
  <si>
    <t>464238DEB2B501FAE063AC100136AD14</t>
  </si>
  <si>
    <t>鄭Ｏ</t>
  </si>
  <si>
    <t>0779A956-9585-4371-8806-07DDB2B829BE</t>
  </si>
  <si>
    <t>464238DEB2B001FAE063AC100136AD14</t>
  </si>
  <si>
    <t>羅Ｏ甯</t>
  </si>
  <si>
    <t>A4BB9B2E-D1C9-46BE-B648-7483A111318C</t>
  </si>
  <si>
    <t>嘉銓通訊處</t>
  </si>
  <si>
    <t>李Ｏ華</t>
  </si>
  <si>
    <t>其他廠區(台中地區)</t>
  </si>
  <si>
    <t>463D3157D71D018AE063AC100136B02B</t>
  </si>
  <si>
    <t>江Ｏ翰</t>
  </si>
  <si>
    <t>83E1C9C5-692D-4A1C-8058-5D109ABCC636</t>
  </si>
  <si>
    <t>2DE3C2FAD8E402EAE063AC100136417D</t>
  </si>
  <si>
    <t>江Ｏ淵</t>
  </si>
  <si>
    <t>2DEB11E0-95B1-4FFF-A17A-902975091CFC</t>
  </si>
  <si>
    <t>462D20A1750601DEE063AC10013681AB</t>
  </si>
  <si>
    <t>王Ｏ以</t>
  </si>
  <si>
    <t>CA79E0A7-3967-4FE7-97D9-84C5A1882771</t>
  </si>
  <si>
    <t>462FA458C46502D6E063AC1001368D87</t>
  </si>
  <si>
    <t>林Ｏ楷</t>
  </si>
  <si>
    <t>7FCB217B-120F-45DB-B1C0-8218D84CD281</t>
  </si>
  <si>
    <t>462FA458C45B02D6E063AC1001368D87</t>
  </si>
  <si>
    <t>蘇Ｏ閔</t>
  </si>
  <si>
    <t>F2BC9CC2-0121-404A-85F3-E67CBCFF8AF3</t>
  </si>
  <si>
    <t>462FA458C45102D6E063AC1001368D87</t>
  </si>
  <si>
    <t>李Ｏ澐</t>
  </si>
  <si>
    <t>6536B55C-DE23-4A4D-8127-BEBE3890684B</t>
  </si>
  <si>
    <t>462D20A1747001DEE063AC10013681AB</t>
  </si>
  <si>
    <t>周Ｏ琪</t>
  </si>
  <si>
    <t>C7AEC29D-389B-4B1E-9E48-B24EC7D80D50</t>
  </si>
  <si>
    <t>21F4581386AB0238E063AC10013664F3</t>
  </si>
  <si>
    <t>何Ｏ成</t>
  </si>
  <si>
    <t>6B160B1C-069B-469B-8A6B-6962C70547AE</t>
  </si>
  <si>
    <t>462DD36DA7B402E2E063AC1001369A15</t>
  </si>
  <si>
    <t>卓Ｏ民</t>
  </si>
  <si>
    <t>09716CC3-A3BD-4764-A5FF-2A3C61DBA282</t>
  </si>
  <si>
    <t>462DD36DA79B02E2E063AC1001369A15</t>
  </si>
  <si>
    <t>陳Ｏ勳</t>
  </si>
  <si>
    <t>E7094B16-A22A-4E26-B1A4-B08BF09EB0B9</t>
  </si>
  <si>
    <t>46170E1E6A2B02C0E063AC1001361147</t>
  </si>
  <si>
    <t>沈Ｏ婷</t>
  </si>
  <si>
    <t>B1FCA147-013E-4E61-B623-31EDB5EBDF2C</t>
  </si>
  <si>
    <t>46170E1E6A3D02C0E063AC1001361147</t>
  </si>
  <si>
    <t>徐Ｏ義</t>
  </si>
  <si>
    <t>9AABA5C3-6A5C-40B4-BD16-9C23E2E19892</t>
  </si>
  <si>
    <t>46170E1E6A0602C0E063AC1001361147</t>
  </si>
  <si>
    <t>蔡Ｏ緹</t>
  </si>
  <si>
    <t>D78FC9D9-BAF8-4D54-9D7C-47007A574FC1</t>
  </si>
  <si>
    <t>4624E29EF4C70274E063AC1001364DE4</t>
  </si>
  <si>
    <t>藍Ｏ湘</t>
  </si>
  <si>
    <t>3E39809D-A8B1-41F1-9601-16674B32E962</t>
  </si>
  <si>
    <t>其他廠區(新竹地區)</t>
  </si>
  <si>
    <t>461E2E06D24501CCE063AC100136251D</t>
  </si>
  <si>
    <t>楊Ｏ霖</t>
  </si>
  <si>
    <t>2F2B8209-C730-4D8E-96C3-1536EED824AF</t>
  </si>
  <si>
    <t>461C03B962FC0180E063AC100136720B</t>
  </si>
  <si>
    <t>宋Ｏ克</t>
  </si>
  <si>
    <t>1D9B30C4-21DA-4C0D-821B-7D5CE356814A</t>
  </si>
  <si>
    <t>46196E124EB30116E063AC100136B60A</t>
  </si>
  <si>
    <t>譚Ｏ文</t>
  </si>
  <si>
    <t>AD68CC4C-EFD9-4A20-9C16-A0FB91BA5B18</t>
  </si>
  <si>
    <t>46184FFE081D014AE063AC100136CFF7</t>
  </si>
  <si>
    <t>黃Ｏ鈴</t>
  </si>
  <si>
    <t>D4F94B4C-975F-4A64-956A-C21C4A72A548</t>
  </si>
  <si>
    <t>460E1D71EE050104E063AC100136DE02</t>
  </si>
  <si>
    <t>丁Ｏ楓</t>
  </si>
  <si>
    <t>C4A3B146-5679-4F0F-8F19-78E18CB5AAFD</t>
  </si>
  <si>
    <t>460AE6FD08550278E063AC100136F742</t>
  </si>
  <si>
    <t>賴Ｏ霖</t>
  </si>
  <si>
    <t>7468440E-EB48-43AE-9747-77E6936DE42A</t>
  </si>
  <si>
    <t>4600D7D0B41D0272E063AC100136BF95</t>
  </si>
  <si>
    <t>林Ｏ佑</t>
  </si>
  <si>
    <t>952B0EA5-65C0-43ED-9834-0DF403DE25A4</t>
  </si>
  <si>
    <t>45F03811CCFD0120E063AC1001362C53</t>
  </si>
  <si>
    <t>沈Ｏ宏</t>
  </si>
  <si>
    <t>560232D7-0246-4C1D-943C-8A428494B82F</t>
  </si>
  <si>
    <t>45F1326373C901ECE063AC1001364D38</t>
  </si>
  <si>
    <t>洪Ｏ原</t>
  </si>
  <si>
    <t>40E96ABF-FD7B-42B9-8EC5-128B1D796602</t>
  </si>
  <si>
    <t>45B255217B0A010CE063AC10013676A3</t>
  </si>
  <si>
    <t>AC746D25-2066-45D1-BE03-C0FC6C5EE2EE</t>
  </si>
  <si>
    <t>45B4915457C90214E063AC100136753D</t>
  </si>
  <si>
    <t>余ＯＯ</t>
  </si>
  <si>
    <t>1E898A59-03A2-4684-846C-CBD6D69C7B13</t>
  </si>
  <si>
    <t>45B4915457D00214E063AC100136753D</t>
  </si>
  <si>
    <t>EF517403-EFA4-45EB-85A6-37FEA9D9F787</t>
  </si>
  <si>
    <t>45A9F362BA4A02C8E063AC1001362070</t>
  </si>
  <si>
    <t>張Ｏ明</t>
  </si>
  <si>
    <t>4D9C2404-2F85-4817-994F-7EC8DF1A08DA</t>
  </si>
  <si>
    <t>亞威通訊處</t>
  </si>
  <si>
    <t>陳Ｏ雯</t>
  </si>
  <si>
    <t>F8</t>
  </si>
  <si>
    <t>45A9F362BA5402C8E063AC1001362070</t>
  </si>
  <si>
    <t>林Ｏ潮</t>
  </si>
  <si>
    <t>8A768769-1550-4800-81AD-5137AA07055E</t>
  </si>
  <si>
    <t>45A9F362B6E102C8E063AC1001362070</t>
  </si>
  <si>
    <t>30F3E1C1-3917-4786-B696-6719899B7A21</t>
  </si>
  <si>
    <t>45A9F362B6DC02C8E063AC1001362070</t>
  </si>
  <si>
    <t>江ＯＯ</t>
  </si>
  <si>
    <t>25685B96-9B3D-4ABF-919B-066154E54F85</t>
  </si>
  <si>
    <t>45A9F362B6D702C8E063AC1001362070</t>
  </si>
  <si>
    <t>廖Ｏ凱</t>
  </si>
  <si>
    <t>AC0D70C0-B9A9-4913-82F5-0113987E176F</t>
  </si>
  <si>
    <t>45A9F362B6D102C8E063AC1001362070</t>
  </si>
  <si>
    <t>8F70D7A7-44AF-4CEF-AA4F-35F0D38129E6</t>
  </si>
  <si>
    <t>鍾Ｏ和</t>
  </si>
  <si>
    <t>45A9F362B6CC02C8E063AC1001362070</t>
  </si>
  <si>
    <t>41B51DA1-8FB8-4853-A037-52DF6772DA02</t>
  </si>
  <si>
    <t>王Ｏ玉</t>
  </si>
  <si>
    <t>1CE345A34D9801D8E063AC10013644CB</t>
  </si>
  <si>
    <t>09C97683-7C8D-447F-A6C7-171BFA96308A</t>
  </si>
  <si>
    <t>測試</t>
  </si>
  <si>
    <t>8EC85F1900C30172E053AC10016E970D</t>
  </si>
  <si>
    <t>A70D4FD2-9E3A-4676-B6BC-8976519DC036</t>
  </si>
  <si>
    <t>94D6153A362701EAE053AC10016E9495</t>
  </si>
  <si>
    <t>14677E73-5CE1-4531-98DD-B4341AFE560D</t>
  </si>
  <si>
    <t>460AE7025746011AE063AC100136BED7</t>
  </si>
  <si>
    <t>測Ｏ</t>
  </si>
  <si>
    <t>BD713B7A-4360-468D-9A16-7C31383E8A37</t>
  </si>
  <si>
    <t>460AE702573C011AE063AC100136BED7</t>
  </si>
  <si>
    <t>8013865F-CEAD-4B63-A7A9-1949D5A59223</t>
  </si>
  <si>
    <t>黃Ｏ霞</t>
  </si>
  <si>
    <t>F530CE0EC5CB0244E053AC10013602B3</t>
  </si>
  <si>
    <t>5E6D3EC5-46ED-42E5-A3D6-EA04D8F7EFF6</t>
  </si>
  <si>
    <t>45B567EFF303018CE063AC100136B76C</t>
  </si>
  <si>
    <t>怡ＯＯ試</t>
  </si>
  <si>
    <t>6ED218FB-DC81-4221-A81F-3731E814D1F1</t>
  </si>
  <si>
    <t>45A0DEDBD55E0194E063AC10013629A8</t>
  </si>
  <si>
    <t>7E3510C0-6274-4133-A265-EA2CF6C0FF3C</t>
  </si>
  <si>
    <t>8ED687373FF2028EE053AC10016EFA33</t>
  </si>
  <si>
    <t>97B30146-39DF-4235-AF13-01C8CC15DCB5</t>
  </si>
  <si>
    <t>張Ｏ娜</t>
  </si>
  <si>
    <t>45A9F362BA5E02C8E063AC1001362070</t>
  </si>
  <si>
    <t>CF3D2CCC-8634-443C-A8BB-2E1459346E4B</t>
  </si>
  <si>
    <t>90328030493E0162E053AC10016E33E8</t>
  </si>
  <si>
    <t>4A8D5499-AF8F-4C31-AE1D-4A8A440AF406</t>
  </si>
  <si>
    <t>9031E9BAA2A60106E053AC10016EC217</t>
  </si>
  <si>
    <t>9C0F6E82-BE71-4F62-86C7-A23EE29A9039</t>
  </si>
  <si>
    <t>885C3A7F7714020CE053AC10016E9F5D</t>
  </si>
  <si>
    <t>3DEC87A9-A298-437A-8004-F8D64A4ED135</t>
  </si>
  <si>
    <t>45A9F362B6F002C8E063AC1001362070</t>
  </si>
  <si>
    <t>7DE06A47-A886-4792-984F-9B847FE34F15</t>
  </si>
  <si>
    <t>10108915</t>
  </si>
  <si>
    <t>2026-01-26 20:39:26.000</t>
  </si>
  <si>
    <t>2026-01-27 10:13:04.000</t>
  </si>
  <si>
    <t>10106701</t>
  </si>
  <si>
    <t>2026-01-26 09:27:14.000</t>
  </si>
  <si>
    <t>2026-01-26 10:15:09.000</t>
  </si>
  <si>
    <t>10000419</t>
  </si>
  <si>
    <t>2026-01-25 12:42:55.000</t>
  </si>
  <si>
    <t>2026-01-25 21:21:08.000</t>
  </si>
  <si>
    <t>10038646</t>
  </si>
  <si>
    <t>2026-01-23 12:23:44.000</t>
  </si>
  <si>
    <t>2026-01-23 20:08:34.000</t>
  </si>
  <si>
    <t>10092846</t>
  </si>
  <si>
    <t>2026-01-23 08:08:48.000</t>
  </si>
  <si>
    <t>2026-01-27 09:21:15.000</t>
  </si>
  <si>
    <t>10016411</t>
  </si>
  <si>
    <t>2026-01-21 15:41:22.000</t>
  </si>
  <si>
    <t>2026-01-21 18:02:31.000</t>
  </si>
  <si>
    <t>10110154</t>
  </si>
  <si>
    <t>2026-01-21 14:05:43.000</t>
  </si>
  <si>
    <t>2026-01-22 11:00:35.000</t>
  </si>
  <si>
    <t>10114891</t>
  </si>
  <si>
    <t>2026-01-20 15:51:26.000</t>
  </si>
  <si>
    <t>10026122</t>
  </si>
  <si>
    <t>2026-01-20 10:04:35.000</t>
  </si>
  <si>
    <t>2026-01-20 13:29:44.000</t>
  </si>
  <si>
    <t>10092145</t>
  </si>
  <si>
    <t>2026-01-19 20:19:35.000</t>
  </si>
  <si>
    <t>2026-01-20 15:42:07.000</t>
  </si>
  <si>
    <t>2026-01-19 11:33:24.000</t>
  </si>
  <si>
    <t>2026-01-20 15:49:33.000</t>
  </si>
  <si>
    <t>00005739</t>
  </si>
  <si>
    <t>2026-01-16 14:42:55.000</t>
  </si>
  <si>
    <t>2026-01-16 16:33:03.000</t>
  </si>
  <si>
    <t>10087753</t>
  </si>
  <si>
    <t>2026-01-15 11:48:13.000</t>
  </si>
  <si>
    <t>2026-01-15 17:53:25.000</t>
  </si>
  <si>
    <t>2026-01-15 08:18:05.000</t>
  </si>
  <si>
    <t>2026-01-21 08:10:57.000</t>
  </si>
  <si>
    <t>2026-01-15 08:00:00.000</t>
  </si>
  <si>
    <t>2026-01-15 11:51:08.000</t>
  </si>
  <si>
    <t>10090582</t>
  </si>
  <si>
    <t>2026-01-15 11:12:55.000</t>
  </si>
  <si>
    <t>2026-01-15 06:53:21.000</t>
  </si>
  <si>
    <t>2026-01-15 09:41:11.000</t>
  </si>
  <si>
    <t>2026-01-14 17:44:43.000</t>
  </si>
  <si>
    <t>2026-01-14 19:58:04.000</t>
  </si>
  <si>
    <t>10110568</t>
  </si>
  <si>
    <t>2026-01-14 13:25:02.000</t>
  </si>
  <si>
    <t>2026-01-14 20:34:27.000</t>
  </si>
  <si>
    <t>10056135</t>
  </si>
  <si>
    <t>2026-01-14 11:16:48.000</t>
  </si>
  <si>
    <t>2026-01-16 07:20:12.000</t>
  </si>
  <si>
    <t>10056146</t>
  </si>
  <si>
    <t>2026-01-14 10:28:08.000</t>
  </si>
  <si>
    <t>2026-01-15 19:03:48.000</t>
  </si>
  <si>
    <t>00025740</t>
  </si>
  <si>
    <t>2026-01-14 10:02:11.000</t>
  </si>
  <si>
    <t>2026-01-16 14:02:20.000</t>
  </si>
  <si>
    <t>10067598</t>
  </si>
  <si>
    <t>2026-01-14 08:35:17.000</t>
  </si>
  <si>
    <t>2026-01-14 09:02:49.000</t>
  </si>
  <si>
    <t>10019617</t>
  </si>
  <si>
    <t>2026-01-13 19:35:54.000</t>
  </si>
  <si>
    <t>2026-01-14 16:14:17.000</t>
  </si>
  <si>
    <t>2026-01-13 10:36:35.000</t>
  </si>
  <si>
    <t>2026-01-16 09:57:04.000</t>
  </si>
  <si>
    <t>2026-01-13 09:06:14.000</t>
  </si>
  <si>
    <t>2026-01-14 09:38:30.000</t>
  </si>
  <si>
    <t>10110283</t>
  </si>
  <si>
    <t>2026-01-12 11:11:22.000</t>
  </si>
  <si>
    <t>2026-01-12 16:00:38.000</t>
  </si>
  <si>
    <t>10091265</t>
  </si>
  <si>
    <t>2026-01-12 10:58:00.000</t>
  </si>
  <si>
    <t>2026-01-14 00:39:27.000</t>
  </si>
  <si>
    <t>10031702</t>
  </si>
  <si>
    <t>2026-01-12 08:29:43.000</t>
  </si>
  <si>
    <t>2026-01-12 10:06:02.000</t>
  </si>
  <si>
    <t>2026-01-11 21:08:54.000</t>
  </si>
  <si>
    <t>2026-01-12 10:25:12.000</t>
  </si>
  <si>
    <t>10055324</t>
  </si>
  <si>
    <t>2026-01-10 15:57:50.000</t>
  </si>
  <si>
    <t>2026-01-15 12:34:22.000</t>
  </si>
  <si>
    <t>10092762</t>
  </si>
  <si>
    <t>2026-01-09 13:54:30.000</t>
  </si>
  <si>
    <t>2026-01-08 15:43:58.000</t>
  </si>
  <si>
    <t>2026-01-15 11:09:08.000</t>
  </si>
  <si>
    <t>2026-01-08 11:20:48.000</t>
  </si>
  <si>
    <t>2026-01-14 20:37:21.000</t>
  </si>
  <si>
    <t>00025127</t>
  </si>
  <si>
    <t>2026-01-08 10:23:16.000</t>
  </si>
  <si>
    <t>2026-01-16 17:15:14.000</t>
  </si>
  <si>
    <t>10059215</t>
  </si>
  <si>
    <t>2026-01-08 08:53:55.000</t>
  </si>
  <si>
    <t>2026-01-16 11:42:35.000</t>
  </si>
  <si>
    <t>2026-01-08 04:41:54.000</t>
  </si>
  <si>
    <t>2026-01-14 20:38:02.000</t>
  </si>
  <si>
    <t>2026-01-07 18:57:16.000</t>
  </si>
  <si>
    <t>2026-01-14 18:48:28.000</t>
  </si>
  <si>
    <t>10089382</t>
  </si>
  <si>
    <t>2026-01-07 13:17:47.000</t>
  </si>
  <si>
    <t>2026-01-12 10:56:28.000</t>
  </si>
  <si>
    <t>2026-01-07 08:31:46.000</t>
  </si>
  <si>
    <t>2026-01-08 10:29:21.000</t>
  </si>
  <si>
    <t>10112965</t>
  </si>
  <si>
    <t>2026-01-06 22:27:07.000</t>
  </si>
  <si>
    <t>2026-01-07 08:54:36.000</t>
  </si>
  <si>
    <t>2026-01-06 20:54:59.000</t>
  </si>
  <si>
    <t>2026-01-12 10:55:01.000</t>
  </si>
  <si>
    <t>2026-01-06 18:17:19.000</t>
  </si>
  <si>
    <t>2026-01-21 08:06:46.000</t>
  </si>
  <si>
    <t>2026-01-05 21:03:34.000</t>
  </si>
  <si>
    <t>2026-01-06 09:15:08.000</t>
  </si>
  <si>
    <t>2026-01-05 20:01:05.000</t>
  </si>
  <si>
    <t>2026-01-06 09:20:11.000</t>
  </si>
  <si>
    <t>2026-01-05 11:13:16.000</t>
  </si>
  <si>
    <t>2026-01-05 15:46:33.000</t>
  </si>
  <si>
    <t>2026-01-05 10:11:06.000</t>
  </si>
  <si>
    <t>2026-01-05 11:06:51.000</t>
  </si>
  <si>
    <t>10085481</t>
  </si>
  <si>
    <t>2026-01-05 09:02:19.000</t>
  </si>
  <si>
    <t>2026-01-05 17:06:08.000</t>
  </si>
  <si>
    <t>2026-01-05 09:00:01.000</t>
  </si>
  <si>
    <t>2026-01-21 08:05:55.000</t>
  </si>
  <si>
    <t>2026-01-03 19:33:06.000</t>
  </si>
  <si>
    <t>2026-01-04 17:43:43.000</t>
  </si>
  <si>
    <t>10057251</t>
  </si>
  <si>
    <t>2026-01-02 20:53:58.000</t>
  </si>
  <si>
    <t>2026-01-05 12:56:23.000</t>
  </si>
  <si>
    <t>00020803</t>
  </si>
  <si>
    <t>2026-01-02 20:22:25.000</t>
  </si>
  <si>
    <t>2026-01-07 10:04:12.000</t>
  </si>
  <si>
    <t>10104428</t>
  </si>
  <si>
    <t>2026-01-01 11:18:43.000</t>
  </si>
  <si>
    <t>2026-01-03 10:10:49.000</t>
  </si>
  <si>
    <t>10088448</t>
  </si>
  <si>
    <t>2025-12-31 10:13:08.000</t>
  </si>
  <si>
    <t>2025-12-31 11:15:26.000</t>
  </si>
  <si>
    <t>2025-12-30 16:22:18.000</t>
  </si>
  <si>
    <t>2025-12-30 17:14:35.000</t>
  </si>
  <si>
    <t>2025-12-30 08:59:04.000</t>
  </si>
  <si>
    <t>2025-12-30 09:32:45.000</t>
  </si>
  <si>
    <t>2025-12-30 02:57:42.000</t>
  </si>
  <si>
    <t>2026-01-07 10:04:35.000</t>
  </si>
  <si>
    <t>2025-12-29 20:40:25.000</t>
  </si>
  <si>
    <t>2026-01-02 09:27:31.000</t>
  </si>
  <si>
    <t>10093675</t>
  </si>
  <si>
    <t>2025-12-29 17:47:11.000</t>
  </si>
  <si>
    <t>2025-12-31 11:49:49.000</t>
  </si>
  <si>
    <t>10045171</t>
  </si>
  <si>
    <t>2025-12-29 16:48:51.000</t>
  </si>
  <si>
    <t>2025-12-30 09:44:34.000</t>
  </si>
  <si>
    <t>2025-12-29 13:06:07.000</t>
  </si>
  <si>
    <t>2026-01-02 17:04:54.000</t>
  </si>
  <si>
    <t>10100321</t>
  </si>
  <si>
    <t>2025-12-29 09:57:15.000</t>
  </si>
  <si>
    <t>2025-12-29 10:08:23.000</t>
  </si>
  <si>
    <t>2025-12-28 12:19:46.000</t>
  </si>
  <si>
    <t>2025-12-29 20:20:47.000</t>
  </si>
  <si>
    <t>10040067</t>
  </si>
  <si>
    <t>2025-12-27 20:13:00.000</t>
  </si>
  <si>
    <t>2025-12-28 08:02:14.000</t>
  </si>
  <si>
    <t>10037430</t>
  </si>
  <si>
    <t>2025-12-26 22:55:03.000</t>
  </si>
  <si>
    <t>2025-12-30 00:15:41.000</t>
  </si>
  <si>
    <t>2025-12-26 18:06:48.000</t>
  </si>
  <si>
    <t>2025-12-29 07:40:01.000</t>
  </si>
  <si>
    <t>10034307</t>
  </si>
  <si>
    <t>2025-12-26 16:22:41.000</t>
  </si>
  <si>
    <t>2025-12-29 11:31:53.000</t>
  </si>
  <si>
    <t>2025-12-26 14:32:50.000</t>
  </si>
  <si>
    <t>2025-12-29 09:22:31.000</t>
  </si>
  <si>
    <t>2025-12-26 13:04:59.000</t>
  </si>
  <si>
    <t>2025-12-26 14:23:19.000</t>
  </si>
  <si>
    <t>10100118</t>
  </si>
  <si>
    <t>2025-12-26 12:20:24.000</t>
  </si>
  <si>
    <t>2025-12-29 12:11:07.000</t>
  </si>
  <si>
    <t>2025-12-26 10:44:29.000</t>
  </si>
  <si>
    <t>2025-12-26 11:08:19.000</t>
  </si>
  <si>
    <t>2025-12-26 10:37:02.000</t>
  </si>
  <si>
    <t>2025-12-25 09:15:11.000</t>
  </si>
  <si>
    <t>2025-12-26 15:56:27.000</t>
  </si>
  <si>
    <t>2025-12-23 12:47:45.000</t>
  </si>
  <si>
    <t>2025-12-27 13:16:26.000</t>
  </si>
  <si>
    <t>2025-12-23 11:33:44.000</t>
  </si>
  <si>
    <t>2025-12-23 16:12:02.000</t>
  </si>
  <si>
    <t>2025-12-23 10:10:31.000</t>
  </si>
  <si>
    <t>2025-12-26 09:36:05.000</t>
  </si>
  <si>
    <t>2025-12-23 09:13:29.000</t>
  </si>
  <si>
    <t>2025-12-25 08:59:45.000</t>
  </si>
  <si>
    <t>2025-12-22 23:53:23.000</t>
  </si>
  <si>
    <t>2025-12-23 20:27:53.000</t>
  </si>
  <si>
    <t>10112286</t>
  </si>
  <si>
    <t>2025-12-22 19:03:24.000</t>
  </si>
  <si>
    <t>2025-12-29 09:41:18.000</t>
  </si>
  <si>
    <t>2025-12-22 12:21:57.000</t>
  </si>
  <si>
    <t>10108461</t>
  </si>
  <si>
    <t>2025-12-22 10:56:03.000</t>
  </si>
  <si>
    <t>2025-12-24 19:42:07.000</t>
  </si>
  <si>
    <t>2025-12-22 10:18:39.000</t>
  </si>
  <si>
    <t>2025-12-22 13:00:14.000</t>
  </si>
  <si>
    <t>2025-12-21 21:42:01.000</t>
  </si>
  <si>
    <t>2025-12-22 18:28:29.000</t>
  </si>
  <si>
    <t>2025-12-21 00:23:46.000</t>
  </si>
  <si>
    <t>2025-12-21 22:41:43.000</t>
  </si>
  <si>
    <t>10017956</t>
  </si>
  <si>
    <t>2025-12-20 12:13:47.000</t>
  </si>
  <si>
    <t>2025-12-20 00:33:26.000</t>
  </si>
  <si>
    <t>2025-12-19 15:07:16.000</t>
  </si>
  <si>
    <t>2025-12-23 15:23:28.000</t>
  </si>
  <si>
    <t>2025-12-19 13:35:33.000</t>
  </si>
  <si>
    <t>2025-12-19 14:07:09.000</t>
  </si>
  <si>
    <t>2025-12-19 13:23:05.000</t>
  </si>
  <si>
    <t>2025-12-19 14:45:06.000</t>
  </si>
  <si>
    <t>2025-12-19 11:12:12.000</t>
  </si>
  <si>
    <t>2025-12-23 15:17:27.000</t>
  </si>
  <si>
    <t>2025-12-19 10:27:14.000</t>
  </si>
  <si>
    <t>2025-12-19 11:04:31.000</t>
  </si>
  <si>
    <t>2025-12-19 08:49:26.000</t>
  </si>
  <si>
    <t>2025-12-19 20:16:06.000</t>
  </si>
  <si>
    <t>2025-12-19 08:03:29.000</t>
  </si>
  <si>
    <t>2025-12-19 09:05:06.000</t>
  </si>
  <si>
    <t>10010151</t>
  </si>
  <si>
    <t>2025-12-19 05:49:54.000</t>
  </si>
  <si>
    <t>2025-12-23 17:28:37.000</t>
  </si>
  <si>
    <t>2025-12-18 21:25:46.000</t>
  </si>
  <si>
    <t>2025-12-21 17:53:09.000</t>
  </si>
  <si>
    <t>2025-12-18 19:29:05.000</t>
  </si>
  <si>
    <t>2025-12-18 22:52:16.000</t>
  </si>
  <si>
    <t>2025-12-18 15:51:41.000</t>
  </si>
  <si>
    <t>2025-12-29 09:12:32.000</t>
  </si>
  <si>
    <t>2025-12-18 15:36:31.000</t>
  </si>
  <si>
    <t>2025-12-18 16:26:53.000</t>
  </si>
  <si>
    <t>2025-12-18 15:01:26.000</t>
  </si>
  <si>
    <t>2025-12-22 01:31:50.000</t>
  </si>
  <si>
    <t>2025-12-18 14:09:15.000</t>
  </si>
  <si>
    <t>2025-12-18 15:18:15.000</t>
  </si>
  <si>
    <t>2025-12-18 12:20:02.000</t>
  </si>
  <si>
    <t>2025-12-18 20:36:23.000</t>
  </si>
  <si>
    <t>2025-12-18 10:19:58.000</t>
  </si>
  <si>
    <t>2025-12-20 11:54:04.000</t>
  </si>
  <si>
    <t>2025-12-18 10:19:07.000</t>
  </si>
  <si>
    <t>2025-12-18 14:35:56.000</t>
  </si>
  <si>
    <t>2025-12-17 20:54:06.000</t>
  </si>
  <si>
    <t>2025-12-18 08:07:02.000</t>
  </si>
  <si>
    <t>2025-12-17 20:44:39.000</t>
  </si>
  <si>
    <t>2025-12-18 08:08:27.000</t>
  </si>
  <si>
    <t>2025-12-17 20:20:25.000</t>
  </si>
  <si>
    <t>2025-12-19 09:58:20.000</t>
  </si>
  <si>
    <t>2025-12-17 19:43:42.000</t>
  </si>
  <si>
    <t>2025-12-17 21:07:41.000</t>
  </si>
  <si>
    <t>2025-12-17 18:39:45.000</t>
  </si>
  <si>
    <t>2025-12-18 20:38:07.000</t>
  </si>
  <si>
    <t>2025-12-17 16:55:12.000</t>
  </si>
  <si>
    <t>2025-12-18 13:57:40.000</t>
  </si>
  <si>
    <t>2025-12-17 12:39:13.000</t>
  </si>
  <si>
    <t>2025-12-17 15:52:24.000</t>
  </si>
  <si>
    <t>2025-12-17 09:26:23.000</t>
  </si>
  <si>
    <t>2025-12-17 17:05:13.000</t>
  </si>
  <si>
    <t>2025-12-16 18:36:45.000</t>
  </si>
  <si>
    <t>2025-12-17 08:21:29.000</t>
  </si>
  <si>
    <t>2025-12-16 12:32:50.000</t>
  </si>
  <si>
    <t>2025-12-16 15:30:19.000</t>
  </si>
  <si>
    <t>2025-12-16 09:54:08.000</t>
  </si>
  <si>
    <t>2025-12-16 10:32:31.000</t>
  </si>
  <si>
    <t>2025-12-15 15:01:15.000</t>
  </si>
  <si>
    <t>2025-12-17 09:03:54.000</t>
  </si>
  <si>
    <t>2025-12-15 13:23:39.000</t>
  </si>
  <si>
    <t>2025-12-15 18:27:29.000</t>
  </si>
  <si>
    <t>2025-12-12 12:44:00.000</t>
  </si>
  <si>
    <t>2025-12-11 22:03:34.000</t>
  </si>
  <si>
    <t>2025-12-19 09:44:42.000</t>
  </si>
  <si>
    <t>2025-12-11 20:00:46.000</t>
  </si>
  <si>
    <t>2025-12-12 08:02:53.000</t>
  </si>
  <si>
    <t>2025-12-11 17:56:15.000</t>
  </si>
  <si>
    <t>2025-12-14 11:51:21.000</t>
  </si>
  <si>
    <t>10056770</t>
  </si>
  <si>
    <t>2025-12-11 17:09:41.000</t>
  </si>
  <si>
    <t>2025-12-26 12:07:33.000</t>
  </si>
  <si>
    <t>2025-12-11 16:48:10.000</t>
  </si>
  <si>
    <t>2025-12-17 09:32:06.000</t>
  </si>
  <si>
    <t>2025-12-11 16:47:13.000</t>
  </si>
  <si>
    <t>2025-12-15 10:00:32.000</t>
  </si>
  <si>
    <t>2025-12-11 16:41:24.000</t>
  </si>
  <si>
    <t>2025-12-24 09:31:01.000</t>
  </si>
  <si>
    <t>2025-12-11 16:39:50.000</t>
  </si>
  <si>
    <t>2025-12-11 17:50:25.000</t>
  </si>
  <si>
    <t>10079682</t>
  </si>
  <si>
    <t>2025-12-11 16:38:28.000</t>
  </si>
  <si>
    <t>2025-12-11 23:16:08.000</t>
  </si>
  <si>
    <t>10056024</t>
  </si>
  <si>
    <t>2025-12-22 13:50:35.000</t>
  </si>
  <si>
    <t>2025-12-22 19:01:41.000</t>
  </si>
  <si>
    <t>2025-12-20 12:06:57.000</t>
  </si>
  <si>
    <t>2025-12-20 20:36:52.000</t>
  </si>
  <si>
    <t>2025-12-17 19:08:56.000</t>
  </si>
  <si>
    <t>2025-12-17 20:01:11.000</t>
  </si>
  <si>
    <t>2025-12-17 10:12:32.000</t>
  </si>
  <si>
    <t>2025-12-20 11:53:42.000</t>
  </si>
  <si>
    <t>2025-12-17 10:03:07.000</t>
  </si>
  <si>
    <t>2025-12-21 22:43:58.000</t>
  </si>
  <si>
    <t>10117456</t>
  </si>
  <si>
    <t>2025-12-14 15:16:34.000</t>
  </si>
  <si>
    <t>2025-12-15 09:55:48.000</t>
  </si>
  <si>
    <t>2025-12-12 08:04:53.000</t>
  </si>
  <si>
    <t>2025-12-12 09:08:32.000</t>
  </si>
  <si>
    <t>2025-12-11 18:00:35.000</t>
  </si>
  <si>
    <t>2025-12-13 07:33:42.000</t>
  </si>
  <si>
    <t>2025-12-11 17:43:40.000</t>
  </si>
  <si>
    <t>2025-12-13 13:25:32.000</t>
  </si>
  <si>
    <t>10056765</t>
  </si>
  <si>
    <t>2025-12-11 17:11:44.000</t>
  </si>
  <si>
    <t>2025-12-16 15:53:46.000</t>
  </si>
  <si>
    <t>2025-12-11 16:49:01.000</t>
  </si>
  <si>
    <t>2025-12-17 08:52:04.000</t>
  </si>
  <si>
    <t>2025-12-11 16:46:25.000</t>
  </si>
  <si>
    <t>2025-12-11 17:03:24.000</t>
  </si>
  <si>
    <t>2025-12-11 16:45:59.000</t>
  </si>
  <si>
    <t>2025-12-25 17:34:45.000</t>
  </si>
  <si>
    <t>2025-12-11 16:42:36.000</t>
  </si>
  <si>
    <t>2025-12-24 09:17:11.000</t>
  </si>
  <si>
    <t>總加入人數</t>
  </si>
  <si>
    <t>預約客戶數</t>
  </si>
  <si>
    <t>由HR公告加入</t>
  </si>
  <si>
    <t>由服務小卡加入</t>
  </si>
  <si>
    <t>由好友推薦加入</t>
  </si>
  <si>
    <t>總計</t>
    <phoneticPr fontId="1" type="noConversion"/>
  </si>
  <si>
    <t>一、台積電LINE官方帳號使用者加入管道統計</t>
    <phoneticPr fontId="1" type="noConversion"/>
  </si>
  <si>
    <t>二、台積電LINE官方帳號預約客戶回覆狀況統計</t>
    <phoneticPr fontId="1" type="noConversion"/>
  </si>
  <si>
    <t>總計</t>
  </si>
  <si>
    <t>三天內回覆</t>
  </si>
  <si>
    <t>七天內回覆</t>
  </si>
  <si>
    <t>應回覆</t>
  </si>
  <si>
    <t>已回覆</t>
  </si>
  <si>
    <t>4BFE977D68EC0144E063AC1001369C51</t>
  </si>
  <si>
    <t>唐Ｏ夏</t>
  </si>
  <si>
    <t>U36af6d4a608d00f6197318fb567a5f9b</t>
  </si>
  <si>
    <t>B80A3112-6BFE-4368-A579-659EBB6A3CCE</t>
  </si>
  <si>
    <t>2026-03-02 14:24:39.000</t>
  </si>
  <si>
    <t>4BAA36BA3FB7015EE063AC100136FF6B</t>
  </si>
  <si>
    <t>張Ｏ雯</t>
  </si>
  <si>
    <t>Ufdc0e6ce967e7d7d0e88c4c4b428d17b</t>
  </si>
  <si>
    <t>0241D971-4FCF-406B-940C-C78AB6144C7B</t>
  </si>
  <si>
    <t>2026-02-26 10:52:42.000</t>
  </si>
  <si>
    <t>4BAA36BA3FB2015EE063AC100136FF6B</t>
  </si>
  <si>
    <t>繆Ｏ欣</t>
  </si>
  <si>
    <t>U18886a62d38210e35b763d6ed31df15e</t>
  </si>
  <si>
    <t>F5295CE5-BE26-4E7A-92B7-FDB6F36B11C4</t>
  </si>
  <si>
    <t>2026-02-26 10:47:30.000</t>
  </si>
  <si>
    <t>2026-02-26 15:12:20.000</t>
  </si>
  <si>
    <t>4B5EEA9D293402EAE063AC1001361E42</t>
  </si>
  <si>
    <t>郭Ｏ如</t>
  </si>
  <si>
    <t>U027eed023bf2123ce795efb6199eed3b</t>
  </si>
  <si>
    <t>4D0C23BA-DCF6-4D7D-B2C9-040F64172EAC</t>
  </si>
  <si>
    <t>2026-02-25 12:34:01.000</t>
  </si>
  <si>
    <t>2026-02-25 14:14:18.000</t>
  </si>
  <si>
    <t>4B9AD8D3BD3D0114E063AC100136680C</t>
  </si>
  <si>
    <t>李Ｏ傑</t>
  </si>
  <si>
    <t>U4aca658478438f476bafae15887b0e46</t>
  </si>
  <si>
    <t>96CFB993-4B97-4AB5-8555-18345F081A40</t>
  </si>
  <si>
    <t>2026-02-25 11:33:29.000</t>
  </si>
  <si>
    <t>43C70BBB-69FC-4532-A5D4-A6DC05D0A9B2</t>
  </si>
  <si>
    <t>2026-02-24 14:25:09.000</t>
  </si>
  <si>
    <t>2026-02-26 10:06:11.000</t>
  </si>
  <si>
    <t>4B821ECF42820102E063AC10013624D5</t>
  </si>
  <si>
    <t>黃Ｏ晏</t>
  </si>
  <si>
    <t>Ue14a8b03dc43d20502f8cceb60ed638c</t>
  </si>
  <si>
    <t>07FC5114-EB70-47A5-B0A2-FFAFF9CCCFC1</t>
  </si>
  <si>
    <t>2026-02-24 11:50:41.000</t>
  </si>
  <si>
    <t>2026-02-24 19:45:16.000</t>
  </si>
  <si>
    <t>4B821ECF42780102E063AC10013624D5</t>
  </si>
  <si>
    <t>陳Ｏ鈴</t>
  </si>
  <si>
    <t>Ub2871db32e8981fda74082ec3c3378f2</t>
  </si>
  <si>
    <t>179A271F-893B-4D8B-9603-F78DAEFEEF20</t>
  </si>
  <si>
    <t>2026-02-24 11:05:19.000</t>
  </si>
  <si>
    <t>2026-02-24 16:16:13.000</t>
  </si>
  <si>
    <t>10057282</t>
  </si>
  <si>
    <t>方Ｏ花</t>
  </si>
  <si>
    <t>4B831926A3E401CCE063AC100136838A</t>
  </si>
  <si>
    <t>尤ＯＯ誠</t>
  </si>
  <si>
    <t>Uac4bc998fbbd723e373e6a32b207d7cb</t>
  </si>
  <si>
    <t>F5755085-25A1-4864-AB10-8FC5784A4AD8</t>
  </si>
  <si>
    <t>2026-02-24 10:55:19.000</t>
  </si>
  <si>
    <t>2026-03-02 11:21:47.000</t>
  </si>
  <si>
    <t>4B87918F4048021CE063AC100136EDA6</t>
  </si>
  <si>
    <t>許Ｏ柔</t>
  </si>
  <si>
    <t>Ua0910243290e8f53198ae3b9373f419c</t>
  </si>
  <si>
    <t>14B99AB5-47C2-4C19-9095-5C23119B9BBF</t>
  </si>
  <si>
    <t>2026-02-24 08:01:53.000</t>
  </si>
  <si>
    <t>2026-02-25 09:29:25.000</t>
  </si>
  <si>
    <t>4B5F67C492CC018EE063AC1001364062</t>
  </si>
  <si>
    <t>鍾Ｏ穎</t>
  </si>
  <si>
    <t>Ue6cf794ef5c2e6302a4612022fdec9cf</t>
  </si>
  <si>
    <t>3FFE7516-18D6-466B-96AB-70EEC5B0F644</t>
  </si>
  <si>
    <t>2026-02-24 05:22:52.000</t>
  </si>
  <si>
    <t>2026-02-25 17:31:46.000</t>
  </si>
  <si>
    <t>4B5F67C492D1018EE063AC1001364062</t>
  </si>
  <si>
    <t>游ＯＯ</t>
  </si>
  <si>
    <t>U502766cfb413cb9f8e10902a84e4483f</t>
  </si>
  <si>
    <t>0D895CD6-C830-471C-A22A-730616A5D6AE</t>
  </si>
  <si>
    <t>2026-02-23 20:31:44.000</t>
  </si>
  <si>
    <t>2026-02-24 09:41:30.000</t>
  </si>
  <si>
    <t>4B71EA5AE51602C0E063AC1001367097</t>
  </si>
  <si>
    <t>陳Ｏ安</t>
  </si>
  <si>
    <t>Udb3daa73f3f560979bce286d0781f683</t>
  </si>
  <si>
    <t>4602CBFE-F606-4D3C-B77B-5CF22009183A</t>
  </si>
  <si>
    <t>2026-02-23 15:24:10.000</t>
  </si>
  <si>
    <t>4B6ED7E984890116E063AC1001365755</t>
  </si>
  <si>
    <t>蘇Ｏ任</t>
  </si>
  <si>
    <t>U36b7babbceb2fbe7cbd1c0710fe074c8</t>
  </si>
  <si>
    <t>B8A66AAB-FD63-4437-9DCB-0135E009267F</t>
  </si>
  <si>
    <t>2026-02-23 12:27:15.000</t>
  </si>
  <si>
    <t>2026-02-23 13:23:29.000</t>
  </si>
  <si>
    <t>4B62B03A8BF90146E063AC1001369C52</t>
  </si>
  <si>
    <t>洪Ｏ瑜</t>
  </si>
  <si>
    <t>U6c700c0d6bbabae09a5ddac2f8988ea4</t>
  </si>
  <si>
    <t>47BC81D2-04DE-4541-B3DF-AABC149DD895</t>
  </si>
  <si>
    <t>2026-02-23 01:33:47.000</t>
  </si>
  <si>
    <t>2026-02-23 10:11:11.000</t>
  </si>
  <si>
    <t>AP6A</t>
  </si>
  <si>
    <t>4B57EE7CDC8A023CE063AC10013646E8</t>
  </si>
  <si>
    <t>林Ｏ榕</t>
  </si>
  <si>
    <t>U9b82b4703d09fecb42a34c0c546171a2</t>
  </si>
  <si>
    <t>D3D3B214-77E1-44D4-AD78-B35F108CDC2B</t>
  </si>
  <si>
    <t>2026-02-22 10:03:16.000</t>
  </si>
  <si>
    <t>2026-02-23 09:49:37.000</t>
  </si>
  <si>
    <t>其他廠區(台南地區)</t>
  </si>
  <si>
    <t>4B3B4B21312802DCE063AC1001362E7C</t>
  </si>
  <si>
    <t>沈Ｏ群</t>
  </si>
  <si>
    <t>Ub14acfc2448f3911e5192ed310bea87e</t>
  </si>
  <si>
    <t>2B942BAB-F538-4C61-9372-145D698A4250</t>
  </si>
  <si>
    <t>2026-02-21 10:02:39.000</t>
  </si>
  <si>
    <t>2026-02-23 22:55:23.000</t>
  </si>
  <si>
    <t>4AF8A83C492301C4E063AC100136CAC5</t>
  </si>
  <si>
    <t>蔡Ｏ螢</t>
  </si>
  <si>
    <t>U4ec632f975d4e4839b9eee38052b8840</t>
  </si>
  <si>
    <t>CF468607-A14F-4D6A-A941-FF0EB92DBE36</t>
  </si>
  <si>
    <t>2026-02-18 19:30:21.000</t>
  </si>
  <si>
    <t>2026-02-19 16:43:56.000</t>
  </si>
  <si>
    <t>4AE130139B0601DEE063AC100136C798</t>
  </si>
  <si>
    <t>馮Ｏ凱</t>
  </si>
  <si>
    <t>U5391d726bce94ada8e000b6cda10af14</t>
  </si>
  <si>
    <t>3F1B9B49-C169-452A-BAF2-6B289497E7F4</t>
  </si>
  <si>
    <t>2026-02-15 22:15:13.000</t>
  </si>
  <si>
    <t>2026-02-16 08:42:06.000</t>
  </si>
  <si>
    <t>4AC7C3492C4501E8E063AC10013680A1</t>
  </si>
  <si>
    <t>U37f35c72bc2afa2c48c116488a6bf68d</t>
  </si>
  <si>
    <t>669B151F-823E-41DD-99B7-DC98B9EE6882</t>
  </si>
  <si>
    <t>2026-02-15 16:47:12.000</t>
  </si>
  <si>
    <t>2026-02-16 14:49:08.000</t>
  </si>
  <si>
    <t>10044530</t>
  </si>
  <si>
    <t>黃Ｏ凰</t>
  </si>
  <si>
    <t>4AA830DD79DF02AEE063AC100136ACFE</t>
  </si>
  <si>
    <t>曲Ｏ正</t>
  </si>
  <si>
    <t>Uf3b859c323985437ec355118b3fe8486</t>
  </si>
  <si>
    <t>236CFD54-6168-483E-84A2-8F73B230968B</t>
  </si>
  <si>
    <t>2026-02-13 09:44:06.000</t>
  </si>
  <si>
    <t>2026-02-23 21:22:39.000</t>
  </si>
  <si>
    <t>4AA830DD79E402AEE063AC100136ACFE</t>
  </si>
  <si>
    <t>周Ｏ華</t>
  </si>
  <si>
    <t>Ufeb0c2ee12e708b3567952c010590e03</t>
  </si>
  <si>
    <t>A7625091-1A8C-44F0-BA61-90F7FDC7CC98</t>
  </si>
  <si>
    <t>2026-02-13 09:30:16.000</t>
  </si>
  <si>
    <t>2026-02-13 10:02:07.000</t>
  </si>
  <si>
    <t>4A714A22D023015AE063AC1001366A2A</t>
  </si>
  <si>
    <t>李Ｏ昕</t>
  </si>
  <si>
    <t>U5e8816d4992156d7d96cc915724c4075</t>
  </si>
  <si>
    <t>DCFB49AA-0623-41F3-8683-B06E25ED8D2D</t>
  </si>
  <si>
    <t>2026-02-10 15:17:00.000</t>
  </si>
  <si>
    <t>2026-02-10 21:03:36.000</t>
  </si>
  <si>
    <t>4A55598D312801A4E063AC1001361D8F</t>
  </si>
  <si>
    <t>林Ｏ揚</t>
  </si>
  <si>
    <t>U5fc1f15cc85c8c7546969fbd6066901c</t>
  </si>
  <si>
    <t>AB507EB4-BD39-4D49-9BB1-B5EC7D22CFCD</t>
  </si>
  <si>
    <t>2026-02-10 13:10:01.000</t>
  </si>
  <si>
    <t>2026-02-10 15:01:59.000</t>
  </si>
  <si>
    <t>4A5D2C4B1BEE01BAE063AC10013631D7</t>
  </si>
  <si>
    <t>游Ｏ敏</t>
  </si>
  <si>
    <t>Ue9764b321c012bfd8f6720fea2dcc63f</t>
  </si>
  <si>
    <t>FF94F673-4AA4-4EBF-B489-155B37CB6FEE</t>
  </si>
  <si>
    <t>2026-02-10 08:51:16.000</t>
  </si>
  <si>
    <t>2026-02-10 09:51:47.000</t>
  </si>
  <si>
    <t>4A59D1F05C220236E063AC1001366D72</t>
  </si>
  <si>
    <t>胡Ｏ雯</t>
  </si>
  <si>
    <t>U82124d21791356e7dae2ab83ccb0756e</t>
  </si>
  <si>
    <t>2F836A17-7B75-462D-AD64-BA2E31246069</t>
  </si>
  <si>
    <t>2026-02-09 16:57:45.000</t>
  </si>
  <si>
    <t>2026-02-09 17:06:23.000</t>
  </si>
  <si>
    <t>E5B336F2-B49E-4204-AE79-25D10AF6E54B</t>
  </si>
  <si>
    <t>2026-02-09 15:27:00.000</t>
  </si>
  <si>
    <t>2026-02-09 16:01:56.000</t>
  </si>
  <si>
    <t>4A555986DD9D01A4E063AC1001361D8F</t>
  </si>
  <si>
    <t>吳Ｏ瑜</t>
  </si>
  <si>
    <t>U22c7dbfd1e79ccfe6c6dcd94016e428d</t>
  </si>
  <si>
    <t>20082691-4D0D-4FF3-A596-3CC4BEACBA38</t>
  </si>
  <si>
    <t>2026-02-09 09:51:34.000</t>
  </si>
  <si>
    <t>2026-02-10 09:11:39.000</t>
  </si>
  <si>
    <t>4A2BFFBEC29502D8E063AC1001367785</t>
  </si>
  <si>
    <t>林Ｏ韋</t>
  </si>
  <si>
    <t>Ub9adacb6e99623ff4a019c71b05fef0a</t>
  </si>
  <si>
    <t>6300027B-4987-49BE-AEBC-75653DC63B96</t>
  </si>
  <si>
    <t>2026-02-07 00:22:12.000</t>
  </si>
  <si>
    <t>2026-02-13 22:27:01.000</t>
  </si>
  <si>
    <t>4A1B187225AB01C4E063AC100136D7AC</t>
  </si>
  <si>
    <t>林Ｏ峰</t>
  </si>
  <si>
    <t>U9f6399df0e0cc61f5dc94e6ef49f9a8b</t>
  </si>
  <si>
    <t>61A9E689-5DB4-4452-9EAC-BDE60CAE7D18</t>
  </si>
  <si>
    <t>2026-02-06 09:14:18.000</t>
  </si>
  <si>
    <t>4A04BE6C48A80224E063AC100136A650</t>
  </si>
  <si>
    <t>張Ｏ惠</t>
  </si>
  <si>
    <t>U877b9202df7a8b87110124106c53489a</t>
  </si>
  <si>
    <t>08688E67-9F2F-4D75-BAD7-54A24DA3099E</t>
  </si>
  <si>
    <t>2026-02-05 19:57:29.000</t>
  </si>
  <si>
    <t>2026-02-10 17:00:47.000</t>
  </si>
  <si>
    <t>4A0B19A414AB0208E063AC100136F61B</t>
  </si>
  <si>
    <t>陳Ｏ智</t>
  </si>
  <si>
    <t>Ub3a6ec81bd0795aae5b02f57deb797f1</t>
  </si>
  <si>
    <t>9E86B355-C170-43EE-9752-B12B54D01609</t>
  </si>
  <si>
    <t>2026-02-05 15:51:06.000</t>
  </si>
  <si>
    <t>2026-02-05 22:58:47.000</t>
  </si>
  <si>
    <t>許Ｏ登</t>
  </si>
  <si>
    <t>U083e795be4e159b858aef5ed2c0dff44</t>
  </si>
  <si>
    <t>8CFCF617-2B43-4506-AAF2-C9FF8B34C26D</t>
  </si>
  <si>
    <t>2026-02-04 10:09:59.000</t>
  </si>
  <si>
    <t>2026-02-05 15:44:53.000</t>
  </si>
  <si>
    <t>49F206356D600112E063AC1001362AFA</t>
  </si>
  <si>
    <t>B48DE180-9CA5-45F0-9D51-7D041EC491AE</t>
  </si>
  <si>
    <t>2026-02-03 20:51:57.000</t>
  </si>
  <si>
    <t>2026-02-04 09:15:50.000</t>
  </si>
  <si>
    <t>49D131F5A34C01A8E063AC10013650A5</t>
  </si>
  <si>
    <t>林Ｏ竣</t>
  </si>
  <si>
    <t>U1f781bb49aba02fbc0388b762376f1bf</t>
  </si>
  <si>
    <t>BD468E4A-EB25-42E0-91D1-1EF4508A4AF4</t>
  </si>
  <si>
    <t>2026-02-03 11:39:10.000</t>
  </si>
  <si>
    <t>2026-02-05 09:27:07.000</t>
  </si>
  <si>
    <t>4994D86D06CE0146E063AC1001364DFF</t>
  </si>
  <si>
    <t>U19222424c6117d65a6220760eabefdda</t>
  </si>
  <si>
    <t>3171B921-ECED-414C-A0BB-2E5AF385DF8E</t>
  </si>
  <si>
    <t>2026-01-31 12:45:13.000</t>
  </si>
  <si>
    <t>2026-01-31 15:31:25.000</t>
  </si>
  <si>
    <t>498E23CF67120112E063AC1001363863</t>
  </si>
  <si>
    <t>謝Ｏ賢</t>
  </si>
  <si>
    <t>U09317950e14f91a3ce57017c1d4d847e</t>
  </si>
  <si>
    <t>0D2FA3E0-3F31-4449-AD6F-488E38125ED3</t>
  </si>
  <si>
    <t>2026-01-30 11:09:44.000</t>
  </si>
  <si>
    <t>2026-02-05 15:12:39.000</t>
  </si>
  <si>
    <t>4972573CB52C0208E063AC1001364E09</t>
  </si>
  <si>
    <t>黃Ｏ燁</t>
  </si>
  <si>
    <t>U7eef34334878657c55820adc5fe5c204</t>
  </si>
  <si>
    <t>3E19B7D2-8C9B-4DB4-83B0-2A92A9B7E815</t>
  </si>
  <si>
    <t>2026-01-29 09:42:04.000</t>
  </si>
  <si>
    <t>2026-01-29 10:20:51.000</t>
  </si>
  <si>
    <t>497CF290FCBE01E0E063AC100136671A</t>
  </si>
  <si>
    <t>2026-01-29 09:47:18.000</t>
  </si>
  <si>
    <t>2026-02-03 15:42:06.000</t>
  </si>
  <si>
    <t>2026-01-30 10:36:13.000</t>
  </si>
  <si>
    <t>2026-01-30 10:36:41.000</t>
  </si>
  <si>
    <t>金峰</t>
  </si>
  <si>
    <t>大銘</t>
  </si>
  <si>
    <t>嘉銓</t>
  </si>
  <si>
    <t>太陽</t>
  </si>
  <si>
    <t>嘉誠</t>
  </si>
  <si>
    <t>冠英</t>
  </si>
  <si>
    <t>巨朋</t>
  </si>
  <si>
    <t>孔明</t>
  </si>
  <si>
    <t>大昇</t>
  </si>
  <si>
    <t>瑞興</t>
  </si>
  <si>
    <t>台南</t>
  </si>
  <si>
    <t>金冠</t>
  </si>
  <si>
    <t>金達</t>
  </si>
  <si>
    <t>金豪</t>
  </si>
  <si>
    <t>南英</t>
  </si>
  <si>
    <t>菁業</t>
  </si>
  <si>
    <t>日兆</t>
  </si>
  <si>
    <t>福鵬直轄</t>
  </si>
  <si>
    <t>立捷</t>
  </si>
  <si>
    <t>今誠</t>
  </si>
  <si>
    <t>七賢</t>
  </si>
  <si>
    <t>北大</t>
  </si>
  <si>
    <t>金躍</t>
  </si>
  <si>
    <t>高宏</t>
  </si>
  <si>
    <t>新竹直轄</t>
  </si>
  <si>
    <t>亞威</t>
  </si>
  <si>
    <t>廠區</t>
  </si>
  <si>
    <t>通訊處</t>
  </si>
  <si>
    <t>三天內回覆率</t>
    <phoneticPr fontId="1" type="noConversion"/>
  </si>
  <si>
    <t xml:space="preserve"> </t>
  </si>
  <si>
    <t>4EEB187EC41D01D8E063AC1001363ADA</t>
  </si>
  <si>
    <t>蔡Ｏ璇</t>
  </si>
  <si>
    <t>U5b42717a5d26b620e4d68950817c82db</t>
  </si>
  <si>
    <t>123AC9EB-A54A-412F-83DF-2DBA4A3413C0</t>
  </si>
  <si>
    <t>2026-04-08 18:23:56.000</t>
  </si>
  <si>
    <t>2026-04-08 21:48:03.000</t>
  </si>
  <si>
    <t>4EEB187EC3E801D8E063AC1001363ADA</t>
  </si>
  <si>
    <t>林Ｏ璋</t>
  </si>
  <si>
    <t>Uf14119022ebbce0257006cbd5abf768e</t>
  </si>
  <si>
    <t>7CB9C011-0A05-4E5D-AC4E-5D8F88B17348</t>
  </si>
  <si>
    <t>2026-04-08 11:59:47.000</t>
  </si>
  <si>
    <t>2026-04-08 18:45:00.000</t>
  </si>
  <si>
    <t>4EEB187EC3F201D8E063AC1001363ADA</t>
  </si>
  <si>
    <t>U53ebba7c0332f4fee004bddb9265d289</t>
  </si>
  <si>
    <t>43FFF5AF-E46F-4200-8945-9C265E55A48A</t>
  </si>
  <si>
    <t>2026-04-08 11:29:44.000</t>
  </si>
  <si>
    <t>2026-04-08 17:30:52.000</t>
  </si>
  <si>
    <t>4ED2C9BD6CD601F6E063AC1001369D12</t>
  </si>
  <si>
    <t>陳Ｏ卿</t>
  </si>
  <si>
    <t>U1f21b33d36bbd777827b3a009b05da4b</t>
  </si>
  <si>
    <t>E2ECE7A1-5A77-4C8A-8E51-3D05D5054267</t>
  </si>
  <si>
    <t>2026-04-07 10:18:40.000</t>
  </si>
  <si>
    <t>4ECE98DBB8DC0220E063AC100136D1A6</t>
  </si>
  <si>
    <t>陳Ｏ萍</t>
  </si>
  <si>
    <t>U29635c165df1c4c97b3af666104a662a</t>
  </si>
  <si>
    <t>BBD214D9-32DC-4121-A7D3-BCE7F8D76135</t>
  </si>
  <si>
    <t>2026-04-07 08:27:13.000</t>
  </si>
  <si>
    <t>2026-04-07 09:17:40.000</t>
  </si>
  <si>
    <t>4EB431B6807401F0E063AC1001368FA9</t>
  </si>
  <si>
    <t>邱Ｏ紘</t>
  </si>
  <si>
    <t>U377356db640bd4c047ba73c0d0d685ef</t>
  </si>
  <si>
    <t>8B86DFA5-8640-495D-9D8A-1EE2E23B527C</t>
  </si>
  <si>
    <t>2026-04-06 09:18:26.000</t>
  </si>
  <si>
    <t>2026-04-06 10:54:28.000</t>
  </si>
  <si>
    <t>4EB431B6807901F0E063AC1001368FA9</t>
  </si>
  <si>
    <t>C2D7FBFA-18D6-42FA-99B0-67A3163A7A46</t>
  </si>
  <si>
    <t>2026-04-06 09:08:46.000</t>
  </si>
  <si>
    <t>2026-04-06 10:01:58.000</t>
  </si>
  <si>
    <t>4E634F16B2B901B8E063AC100136AFDE</t>
  </si>
  <si>
    <t>葉Ｏ霈</t>
  </si>
  <si>
    <t>Ub6bdb05955380b3c65f1a66d94f014fd</t>
  </si>
  <si>
    <t>AF5E75A0-937E-4C0F-A265-026215B9D8B8</t>
  </si>
  <si>
    <t>2026-04-03 01:26:23.000</t>
  </si>
  <si>
    <t>2026-04-03 09:16:55.000</t>
  </si>
  <si>
    <t>4E5B110824460288E063AC10013616DC</t>
  </si>
  <si>
    <t>陳Ｏ勛</t>
  </si>
  <si>
    <t>U9e0e578fdb3d335f62258cc16fc261d4</t>
  </si>
  <si>
    <t>9AB7AB2B-5FE6-468F-88A2-035340E0CF24</t>
  </si>
  <si>
    <t>2026-04-01 07:11:35.000</t>
  </si>
  <si>
    <t>2026-04-01 08:06:28.000</t>
  </si>
  <si>
    <t>4E36BEE1B0830258E063AC10013696D3</t>
  </si>
  <si>
    <t>梁Ｏ誠</t>
  </si>
  <si>
    <t>U5a3a0c34e28f236ef7cbc47ca444ef86</t>
  </si>
  <si>
    <t>5DCD0E0A-3E3E-4BEB-A787-FFB65F662ECA</t>
  </si>
  <si>
    <t>2026-03-30 14:36:41.000</t>
  </si>
  <si>
    <t>2026-04-01 07:04:52.000</t>
  </si>
  <si>
    <t>4E37B90D66A401EEE063AC1001363745</t>
  </si>
  <si>
    <t>544DB91E-CE0E-4ED6-80CE-5829C45E7395</t>
  </si>
  <si>
    <t>2026-03-30 13:08:50.000</t>
  </si>
  <si>
    <t>2026-04-05 11:30:55.000</t>
  </si>
  <si>
    <t>4DFDBFA83FEE01CEE063AC10013632A8</t>
  </si>
  <si>
    <t>李Ｏ煥</t>
  </si>
  <si>
    <t>Uaaa958afb5821c28e3d94bf7c94b8242</t>
  </si>
  <si>
    <t>E6E182FF-30E8-4FA7-8650-916328FE1CE7</t>
  </si>
  <si>
    <t>2026-03-27 18:10:08.000</t>
  </si>
  <si>
    <t>2026-03-27 21:08:00.000</t>
  </si>
  <si>
    <t>4DFBA711443A01AEE063AC100136B3B2</t>
  </si>
  <si>
    <t>王Ｏ婷</t>
  </si>
  <si>
    <t>Uf70f2ced6808e33130e5e5fd508ccfbc</t>
  </si>
  <si>
    <t>EAD42E22-175E-4B06-A62F-B375DF18994A</t>
  </si>
  <si>
    <t>2026-03-27 14:13:25.000</t>
  </si>
  <si>
    <t>2026-03-27 15:06:58.000</t>
  </si>
  <si>
    <t>4DFA6535249901E8E063AC10013683E3</t>
  </si>
  <si>
    <t>鄭Ｏ良</t>
  </si>
  <si>
    <t>Uf941e5bb7917cc64642b292deeb22784</t>
  </si>
  <si>
    <t>D52186FC-EAA8-4951-8AB2-FD21233366D6</t>
  </si>
  <si>
    <t>2026-03-27 13:58:28.000</t>
  </si>
  <si>
    <t>2026-03-30 02:16:30.000</t>
  </si>
  <si>
    <t>4DE6479757430134E063AC1001362E60</t>
  </si>
  <si>
    <t>U53200f1f2fa3fe439094b9248bb3b80f</t>
  </si>
  <si>
    <t>E39BBC5C-0AA2-4897-B671-1091DD5FF2AB</t>
  </si>
  <si>
    <t>2026-03-26 11:55:44.000</t>
  </si>
  <si>
    <t>2026-03-26 13:03:46.000</t>
  </si>
  <si>
    <t>4DD205EF4EC50176E063AC100136BA7F</t>
  </si>
  <si>
    <t>朱Ｏ喬</t>
  </si>
  <si>
    <t>U09608bee1740a9e1d37a45c6b7c409f1</t>
  </si>
  <si>
    <t>EFC359B1-FBAD-4DBF-A57E-3E94C07FD635</t>
  </si>
  <si>
    <t>2026-03-25 11:07:29.000</t>
  </si>
  <si>
    <t>2026-03-26 14:24:38.000</t>
  </si>
  <si>
    <t>4DB4F713F8A80130E063AC100136C3A5</t>
  </si>
  <si>
    <t>石Ｏ方</t>
  </si>
  <si>
    <t>Ue699914d5f7bf79e0c3119c88807708c</t>
  </si>
  <si>
    <t>69FBBAB3-9917-4302-AEA8-5BEEC72AA1A8</t>
  </si>
  <si>
    <t>2026-03-23 23:16:53.000</t>
  </si>
  <si>
    <t>2026-03-24 23:36:47.000</t>
  </si>
  <si>
    <t>10093109</t>
  </si>
  <si>
    <t>林Ｏ華</t>
  </si>
  <si>
    <t>4DA6C931AECA01A2E063AC10013629E6</t>
  </si>
  <si>
    <t>楊Ｏ勳</t>
  </si>
  <si>
    <t>Ue3d827620e8ba31ba8a49fcb4fd1577e</t>
  </si>
  <si>
    <t>B71A49D3-716E-407B-8B41-1A0976B27561</t>
  </si>
  <si>
    <t>2026-03-23 08:00:46.000</t>
  </si>
  <si>
    <t>2026-03-23 17:30:51.000</t>
  </si>
  <si>
    <t>10055690</t>
  </si>
  <si>
    <t>鄭Ｏ珊</t>
  </si>
  <si>
    <t>4D61FC008098014EE063AC100136A6C2</t>
  </si>
  <si>
    <t>施Ｏ承</t>
  </si>
  <si>
    <t>Ub00cf6b57b6dd545b80d68bfa6a456d6</t>
  </si>
  <si>
    <t>5594AB75-DD28-4676-9D6F-7643DE534DE5</t>
  </si>
  <si>
    <t>2026-03-19 22:27:08.000</t>
  </si>
  <si>
    <t>2026-03-21 10:47:41.000</t>
  </si>
  <si>
    <t>4D48B31751B1025AE063AC100136ABCF</t>
  </si>
  <si>
    <t>許Ｏ豪</t>
  </si>
  <si>
    <t>U2c3be6ee71f2404e9bc47275f8322562</t>
  </si>
  <si>
    <t>7D2D05C2-72AB-4091-9C9D-C640063F84B4</t>
  </si>
  <si>
    <t>2026-03-18 16:42:01.000</t>
  </si>
  <si>
    <t>2026-03-19 14:46:45.000</t>
  </si>
  <si>
    <t>4D3B6D74C03D0120E063AC100136A6CF</t>
  </si>
  <si>
    <t>陳Ｏ捷</t>
  </si>
  <si>
    <t>Ub3ea7df3ab3063706a4e38290f154f63</t>
  </si>
  <si>
    <t>B5DC809B-B463-407C-9954-671EEF457CD2</t>
  </si>
  <si>
    <t>2026-03-18 10:20:08.000</t>
  </si>
  <si>
    <t>2026-03-18 12:35:25.000</t>
  </si>
  <si>
    <t>4D349550D2F301DAE063AC10013651B7</t>
  </si>
  <si>
    <t>楊Ｏ</t>
  </si>
  <si>
    <t>Ucde68f860536bca8c288ac20f5c23480</t>
  </si>
  <si>
    <t>684D3879-D1D0-4AF8-819F-E7C0AB334306</t>
  </si>
  <si>
    <t>2026-03-17 16:28:54.000</t>
  </si>
  <si>
    <t>2026-03-19 17:40:19.000</t>
  </si>
  <si>
    <t>4D154A3B528B015CE063AC100136D665</t>
  </si>
  <si>
    <t>陳Ｏ誌</t>
  </si>
  <si>
    <t>U7bebafa6b8aacfd6541a51768f56854f</t>
  </si>
  <si>
    <t>2E22CACE-C2C9-4C6B-87CC-A4083ED3C5AE</t>
  </si>
  <si>
    <t>2026-03-16 10:38:37.000</t>
  </si>
  <si>
    <t>2026-03-16 17:13:32.000</t>
  </si>
  <si>
    <t>4D154A3B5286015CE063AC100136D665</t>
  </si>
  <si>
    <t>林Ｏ呈</t>
  </si>
  <si>
    <t>U7cbba6775bc153ba9819523a0468c8c3</t>
  </si>
  <si>
    <t>2E8A5F2C-AC27-4433-B9FD-F5B07B63AE2F</t>
  </si>
  <si>
    <t>2026-03-16 10:01:47.000</t>
  </si>
  <si>
    <t>2026-03-16 15:14:59.000</t>
  </si>
  <si>
    <t>4CE38EA7F62D0234E063AC100136E642</t>
  </si>
  <si>
    <t>邱Ｏ茹</t>
  </si>
  <si>
    <t>Ud6d5e93a79225a035ceda4db86e5f80c</t>
  </si>
  <si>
    <t>3CD4B3A9-8B13-4B54-A345-7BAFF5B14E4A</t>
  </si>
  <si>
    <t>2026-03-13 15:06:58.000</t>
  </si>
  <si>
    <t>2026-03-18 14:48:44.000</t>
  </si>
  <si>
    <t>4CC2D029476D01A0E063AC1001367265</t>
  </si>
  <si>
    <t>李Ｏ鋒</t>
  </si>
  <si>
    <t>U22fa5163d3009f78df005d1741f4009d</t>
  </si>
  <si>
    <t>07521EE3-68F8-4EBA-8E46-31F64DA46841</t>
  </si>
  <si>
    <t>2026-03-12 09:59:14.000</t>
  </si>
  <si>
    <t>2026-03-15 21:18:29.000</t>
  </si>
  <si>
    <t>4C5E2538C6A602D0E063AC10013665D9</t>
  </si>
  <si>
    <t>吳Ｏ穎</t>
  </si>
  <si>
    <t>U32d4ee4710e1f2a844e3f7ea25b729b8</t>
  </si>
  <si>
    <t>158CB333-E76A-4D2C-939F-8BE30F08A983</t>
  </si>
  <si>
    <t>2026-03-09 22:11:56.000</t>
  </si>
  <si>
    <t>2026-03-10 09:30:03.000</t>
  </si>
  <si>
    <t>4C7B9F25AACF012AE063AC10013656CD</t>
  </si>
  <si>
    <t>謝Ｏ君</t>
  </si>
  <si>
    <t>U7b2c190d18a8299b930909088d6b0428</t>
  </si>
  <si>
    <t>EF34BB2F-E74B-4581-93FA-2E2D265CBD87</t>
  </si>
  <si>
    <t>2026-03-08 16:57:17.000</t>
  </si>
  <si>
    <t>2026-03-09 10:58:44.000</t>
  </si>
  <si>
    <t>4C5EFBC769C00168E063AC100136E9A3</t>
  </si>
  <si>
    <t>林Ｏ廷</t>
  </si>
  <si>
    <t>Ud7585f726a2ac0fd28fde3c68156392b</t>
  </si>
  <si>
    <t>C4AC494A-D4B8-4018-996C-A1AFC5BA6C84</t>
  </si>
  <si>
    <t>2026-03-06 23:57:12.000</t>
  </si>
  <si>
    <t>2026-03-07 08:47:04.000</t>
  </si>
  <si>
    <t>10010781</t>
  </si>
  <si>
    <t>康Ｏ羚</t>
  </si>
  <si>
    <t>4C2BFE6B4AAD010AE063AC100136703B</t>
  </si>
  <si>
    <t>林Ｏ逸</t>
  </si>
  <si>
    <t>U889633050bb75f03c41c84db5acd7d93</t>
  </si>
  <si>
    <t>A4BBB833-8E78-4166-8F17-9B7BD4DFCBFC</t>
  </si>
  <si>
    <t>2026-03-05 07:55:47.000</t>
  </si>
  <si>
    <t>2026-03-09 17:44:07.000</t>
  </si>
  <si>
    <t>4C2BFE6B4AB2010AE063AC100136703B</t>
  </si>
  <si>
    <t>陳Ｏ廷</t>
  </si>
  <si>
    <t>Ubfda862e01ffd270540004f7256ec493</t>
  </si>
  <si>
    <t>084D4266-424D-4656-AB9F-C7C1A8A54716</t>
  </si>
  <si>
    <t>2026-03-04 21:42:08.000</t>
  </si>
  <si>
    <t>2026-03-07 13:09:21.000</t>
  </si>
  <si>
    <t>4C2118DF3C800124E063AC100136E861</t>
  </si>
  <si>
    <t>朱Ｏ瑋</t>
  </si>
  <si>
    <t>U89153d4a7f4a962c7cad8904d2d4e691</t>
  </si>
  <si>
    <t>1A0B85FC-4BFE-4CE8-8EBF-F3D8990F7810</t>
  </si>
  <si>
    <t>2026-03-04 11:34:12.000</t>
  </si>
  <si>
    <t>2026-03-11 15:41:11.000</t>
  </si>
  <si>
    <t>4C25FC94D68901B0E063AC100136CF99</t>
  </si>
  <si>
    <t>林Ｏ鋒</t>
  </si>
  <si>
    <t>U53864bc66a364a961281654a6abed692</t>
  </si>
  <si>
    <t>2FA22A50-B2C8-4897-82D7-E5995B4DC854</t>
  </si>
  <si>
    <t>2026-03-03 23:44:18.000</t>
  </si>
  <si>
    <t>2026-03-05 20:31:12.000</t>
  </si>
  <si>
    <t>4C18B720D6B50198E063AC1001369400</t>
  </si>
  <si>
    <t>胡Ｏ傑</t>
  </si>
  <si>
    <t>U21a2adc07be87976383b5eddf8e6cf44</t>
  </si>
  <si>
    <t>28F0EDD6-7B08-4A17-8C1A-8F2AC4107F8D</t>
  </si>
  <si>
    <t>2026-03-03 14:12:00.000</t>
  </si>
  <si>
    <t>2026-03-03 15:06:54.000</t>
  </si>
  <si>
    <t>4C1462759A18015EE063AC1001369D9D</t>
  </si>
  <si>
    <t>640A439D-DB73-44E1-9397-5160B00EA556</t>
  </si>
  <si>
    <t>2026-03-03 11:20:18.000</t>
  </si>
  <si>
    <t>2026-03-03 12:04:23.000</t>
  </si>
  <si>
    <t>2026-03-03 14:16:02.000</t>
  </si>
  <si>
    <t>2026-03-03 09:44:16.000</t>
  </si>
  <si>
    <t>2026-03-03 09:43:41.000</t>
  </si>
  <si>
    <t>2026-03-15 21:18:04.000</t>
  </si>
  <si>
    <t>2026-03-12 22:56:24.000</t>
  </si>
  <si>
    <t>4C7BFC102F8002C8E063AC100136E309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</si>
</sst>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4" fillId="0" borderId="0" xfId="0" applyFont="1">
      <alignment vertical="center"/>
    </xf>
    <xf numFmtId="0" fontId="4" fillId="0" borderId="0" xfId="0" pivotButton="1" applyFont="1" applyAlignment="1">
      <alignment horizontal="center" vertical="center"/>
    </xf>
    <xf numFmtId="0" fontId="4" fillId="0" borderId="2" xfId="0" pivotButton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9" fontId="4" fillId="0" borderId="0" xfId="1" applyFo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NumberFormat="1" applyFont="1" applyBorder="1">
      <alignment vertical="center"/>
    </xf>
    <xf numFmtId="0" fontId="4" fillId="0" borderId="0" xfId="0" applyNumberFormat="1" applyFont="1">
      <alignment vertical="center"/>
    </xf>
    <xf numFmtId="9" fontId="0" fillId="0" borderId="0" xfId="1" applyFo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9" fontId="4" fillId="0" borderId="0" xfId="1" applyFont="1" applyAlignment="1">
      <alignment vertical="center"/>
    </xf>
    <xf numFmtId="0" fontId="4" fillId="0" borderId="0" xfId="0" applyFont="1" applyAlignment="1">
      <alignment vertical="center"/>
    </xf>
  </cellXfs>
  <cellStyles count="2">
    <cellStyle name="一般" xfId="0" builtinId="0"/>
    <cellStyle name="百分比" xfId="1" builtinId="5"/>
  </cellStyles>
  <dxfs count="304"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9" formatCode="yyyy/m/d"/>
      <alignment horizontal="center" vertical="center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alignment horizontal="left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alignment horizontal="left" readingOrder="0"/>
    </dxf>
    <dxf>
      <alignment horizontal="center" readingOrder="0"/>
    </dxf>
    <dxf>
      <numFmt numFmtId="13" formatCode="0%"/>
    </dxf>
    <dxf>
      <numFmt numFmtId="35" formatCode="_-* #,##0.00_-;\-* #,##0.00_-;_-* &quot;-&quot;??_-;_-@_-"/>
    </dxf>
    <dxf>
      <numFmt numFmtId="176" formatCode="_-* #,##0.0_-;\-* #,##0.0_-;_-* &quot;-&quot;??_-;_-@_-"/>
    </dxf>
    <dxf>
      <numFmt numFmtId="35" formatCode="_-* #,##0.00_-;\-* #,##0.00_-;_-* &quot;-&quot;??_-;_-@_-"/>
    </dxf>
    <dxf>
      <numFmt numFmtId="176" formatCode="_-* #,##0.0_-;\-* #,##0.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left" readingOrder="0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陳奕廷-職域開發專案" refreshedDate="46121.405302314815" backgroundQuery="1" createdVersion="6" refreshedVersion="8" minRefreshableVersion="3" recordCount="0" supportSubquery="1" supportAdvancedDrill="1" xr:uid="{00000000-000A-0000-FFFF-FFFF00000000}">
  <cacheSource type="external" connectionId="3"/>
  <cacheFields count="5">
    <cacheField name="[範圍].[AREA].[AREA]" caption="AREA" numFmtId="0" hierarchy="10" level="1">
      <sharedItems count="27">
        <s v="AP5B"/>
        <s v="AP6A"/>
        <s v="AP6B"/>
        <s v="AP7"/>
        <s v="F15A"/>
        <s v="F15B"/>
        <s v="AP8"/>
        <s v="F14P1"/>
        <s v="F14P3"/>
        <s v="F14P5"/>
        <s v="F14P7"/>
        <s v="F18A"/>
        <s v="F18B"/>
        <s v="F6"/>
        <s v="AP3龍潭廠"/>
        <s v="F12P1"/>
        <s v="F12P4"/>
        <s v="F12P6"/>
        <s v="F12P7"/>
        <s v="F12P8"/>
        <s v="F2/F5"/>
        <s v="F20"/>
        <s v="F3"/>
        <s v="F7"/>
        <s v="F8"/>
        <s v="F18P8"/>
        <s v="F22"/>
      </sharedItems>
    </cacheField>
    <cacheField name="[Measures].[以下資料的相異計數: CUSTOMER_UUID]" caption="以下資料的相異計數: CUSTOMER_UUID" numFmtId="0" hierarchy="25" level="32767"/>
    <cacheField name="[範圍].[AGENCY_NAME].[AGENCY_NAME]" caption="AGENCY_NAME" numFmtId="0" hierarchy="7" level="1">
      <sharedItems count="26">
        <s v="大銘通訊處"/>
        <s v="嘉銓通訊處"/>
        <s v="太陽通訊處"/>
        <s v="嘉誠通訊處"/>
        <s v="菁業通訊處"/>
        <s v="日兆通訊處"/>
        <s v="福鵬直轄通訊處"/>
        <s v="冠英通訊處"/>
        <s v="台南通訊處"/>
        <s v="金冠通訊處"/>
        <s v="金達通訊處"/>
        <s v="金豪通訊處"/>
        <s v="南英通訊處"/>
        <s v="立捷通訊處"/>
        <s v="今誠通訊處"/>
        <s v="金峰通訊處"/>
        <s v="巨朋通訊處"/>
        <s v="孔明通訊處"/>
        <s v="大昇通訊處"/>
        <s v="瑞興通訊處"/>
        <s v="北大通訊處"/>
        <s v="金躍通訊處"/>
        <s v="新竹直轄通訊處"/>
        <s v="亞威通訊處"/>
        <s v="七賢通訊處"/>
        <s v="高宏通訊處"/>
      </sharedItems>
    </cacheField>
    <cacheField name="[Measures].[以下資料的總和: 三天內回覆]" caption="以下資料的總和: 三天內回覆" numFmtId="0" hierarchy="28" level="32767"/>
    <cacheField name="[範圍].[DEPT_NM].[DEPT_NM]" caption="DEPT_NM" numFmtId="0" hierarchy="5" level="1">
      <sharedItems count="4">
        <s v="中嘉區域"/>
        <s v="台南區域"/>
        <s v="桃竹區域"/>
        <s v="高屏區域"/>
      </sharedItems>
    </cacheField>
  </cacheFields>
  <cacheHierarchies count="29">
    <cacheHierarchy uniqueName="[加入人數].[加入LINE OA日期]" caption="加入LINE OA日期" attribute="1" time="1" defaultMemberUniqueName="[加入人數].[加入LINE OA日期].[All]" allUniqueName="[加入人數].[加入LINE OA日期].[All]" dimensionUniqueName="[加入人數]" displayFolder="" count="0" memberValueDatatype="7" unbalanced="0"/>
    <cacheHierarchy uniqueName="[加入人數].[由HR公告加入]" caption="由HR公告加入" attribute="1" defaultMemberUniqueName="[加入人數].[由HR公告加入].[All]" allUniqueName="[加入人數].[由HR公告加入].[All]" dimensionUniqueName="[加入人數]" displayFolder="" count="0" memberValueDatatype="5" unbalanced="0"/>
    <cacheHierarchy uniqueName="[加入人數].[由服務小卡加入]" caption="由服務小卡加入" attribute="1" defaultMemberUniqueName="[加入人數].[由服務小卡加入].[All]" allUniqueName="[加入人數].[由服務小卡加入].[All]" dimensionUniqueName="[加入人數]" displayFolder="" count="0" memberValueDatatype="5" unbalanced="0"/>
    <cacheHierarchy uniqueName="[加入人數].[由好友推薦加入]" caption="由好友推薦加入" attribute="1" defaultMemberUniqueName="[加入人數].[由好友推薦加入].[All]" allUniqueName="[加入人數].[由好友推薦加入].[All]" dimensionUniqueName="[加入人數]" displayFolder="" count="0" memberValueDatatype="5" unbalanced="0"/>
    <cacheHierarchy uniqueName="[加入人數].[總加入人數]" caption="總加入人數" attribute="1" defaultMemberUniqueName="[加入人數].[總加入人數].[All]" allUniqueName="[加入人數].[總加入人數].[All]" dimensionUniqueName="[加入人數]" displayFolder="" count="0" memberValueDatatype="5" unbalanced="0"/>
    <cacheHierarchy uniqueName="[範圍].[DEPT_NM]" caption="DEPT_NM" attribute="1" defaultMemberUniqueName="[範圍].[DEPT_NM].[All]" allUniqueName="[範圍].[DEPT_NM].[All]" dimensionUniqueName="[範圍]" displayFolder="" count="2" memberValueDatatype="130" unbalanced="0">
      <fieldsUsage count="2">
        <fieldUsage x="-1"/>
        <fieldUsage x="4"/>
      </fieldsUsage>
    </cacheHierarchy>
    <cacheHierarchy uniqueName="[範圍].[AREA_NM]" caption="AREA_NM" attribute="1" defaultMemberUniqueName="[範圍].[AREA_NM].[All]" allUniqueName="[範圍].[AREA_NM].[All]" dimensionUniqueName="[範圍]" displayFolder="" count="0" memberValueDatatype="130" unbalanced="0"/>
    <cacheHierarchy uniqueName="[範圍].[AGENCY_NAME]" caption="AGENCY_NAME" attribute="1" defaultMemberUniqueName="[範圍].[AGENCY_NAME].[All]" allUniqueName="[範圍].[AGENCY_NAME].[All]" dimensionUniqueName="[範圍]" displayFolder="" count="2" memberValueDatatype="130" unbalanced="0">
      <fieldsUsage count="2">
        <fieldUsage x="-1"/>
        <fieldUsage x="2"/>
      </fieldsUsage>
    </cacheHierarchy>
    <cacheHierarchy uniqueName="[範圍].[AGENT_NUMBER]" caption="AGENT_NUMBER" attribute="1" defaultMemberUniqueName="[範圍].[AGENT_NUMBER].[All]" allUniqueName="[範圍].[AGENT_NUMBER].[All]" dimensionUniqueName="[範圍]" displayFolder="" count="0" memberValueDatatype="130" unbalanced="0"/>
    <cacheHierarchy uniqueName="[範圍].[SURNAME]" caption="SURNAME" attribute="1" defaultMemberUniqueName="[範圍].[SURNAME].[All]" allUniqueName="[範圍].[SURNAME].[All]" dimensionUniqueName="[範圍]" displayFolder="" count="0" memberValueDatatype="130" unbalanced="0"/>
    <cacheHierarchy uniqueName="[範圍].[AREA]" caption="AREA" attribute="1" defaultMemberUniqueName="[範圍].[AREA].[All]" allUniqueName="[範圍].[AREA].[All]" dimensionUniqueName="[範圍]" displayFolder="" count="2" memberValueDatatype="130" unbalanced="0">
      <fieldsUsage count="2">
        <fieldUsage x="-1"/>
        <fieldUsage x="0"/>
      </fieldsUsage>
    </cacheHierarchy>
    <cacheHierarchy uniqueName="[範圍].[CUSTOMER_UUID]" caption="CUSTOMER_UUID" attribute="1" defaultMemberUniqueName="[範圍].[CUSTOMER_UUID].[All]" allUniqueName="[範圍].[CUSTOMER_UUID].[All]" dimensionUniqueName="[範圍]" displayFolder="" count="0" memberValueDatatype="130" unbalanced="0"/>
    <cacheHierarchy uniqueName="[範圍].[CUST_NAME]" caption="CUST_NAME" attribute="1" defaultMemberUniqueName="[範圍].[CUST_NAME].[All]" allUniqueName="[範圍].[CUST_NAME].[All]" dimensionUniqueName="[範圍]" displayFolder="" count="0" memberValueDatatype="130" unbalanced="0"/>
    <cacheHierarchy uniqueName="[範圍].[LINE_UUID]" caption="LINE_UUID" attribute="1" defaultMemberUniqueName="[範圍].[LINE_UUID].[All]" allUniqueName="[範圍].[LINE_UUID].[All]" dimensionUniqueName="[範圍]" displayFolder="" count="0" memberValueDatatype="130" unbalanced="0"/>
    <cacheHierarchy uniqueName="[範圍].[O2O_UUID]" caption="O2O_UUID" attribute="1" defaultMemberUniqueName="[範圍].[O2O_UUID].[All]" allUniqueName="[範圍].[O2O_UUID].[All]" dimensionUniqueName="[範圍]" displayFolder="" count="0" memberValueDatatype="130" unbalanced="0"/>
    <cacheHierarchy uniqueName="[範圍].[預約時間]" caption="預約時間" attribute="1" defaultMemberUniqueName="[範圍].[預約時間].[All]" allUniqueName="[範圍].[預約時間].[All]" dimensionUniqueName="[範圍]" displayFolder="" count="0" memberValueDatatype="130" unbalanced="0"/>
    <cacheHierarchy uniqueName="[範圍].[回覆時間]" caption="回覆時間" attribute="1" defaultMemberUniqueName="[範圍].[回覆時間].[All]" allUniqueName="[範圍].[回覆時間].[All]" dimensionUniqueName="[範圍]" displayFolder="" count="0" memberValueDatatype="130" unbalanced="0"/>
    <cacheHierarchy uniqueName="[範圍].[回覆天數]" caption="回覆天數" attribute="1" defaultMemberUniqueName="[範圍].[回覆天數].[All]" allUniqueName="[範圍].[回覆天數].[All]" dimensionUniqueName="[範圍]" displayFolder="" count="0" memberValueDatatype="130" unbalanced="0"/>
    <cacheHierarchy uniqueName="[範圍].[三天內回覆]" caption="三天內回覆" attribute="1" defaultMemberUniqueName="[範圍].[三天內回覆].[All]" allUniqueName="[範圍].[三天內回覆].[All]" dimensionUniqueName="[範圍]" displayFolder="" count="0" memberValueDatatype="20" unbalanced="0"/>
    <cacheHierarchy uniqueName="[範圍].[七天內回覆]" caption="七天內回覆" attribute="1" defaultMemberUniqueName="[範圍].[七天內回覆].[All]" allUniqueName="[範圍].[七天內回覆].[All]" dimensionUniqueName="[範圍]" displayFolder="" count="0" memberValueDatatype="20" unbalanced="0"/>
    <cacheHierarchy uniqueName="[Measures].[__XL_Count 加入人數]" caption="__XL_Count 加入人數" measure="1" displayFolder="" measureGroup="加入人數" count="0" hidden="1"/>
    <cacheHierarchy uniqueName="[Measures].[__XL_Count 範圍]" caption="__XL_Count 範圍" measure="1" displayFolder="" measureGroup="範圍" count="0" hidden="1"/>
    <cacheHierarchy uniqueName="[Measures].[__No measures defined]" caption="__No measures defined" measure="1" displayFolder="" count="0" hidden="1"/>
    <cacheHierarchy uniqueName="[Measures].[以下資料的項目個數: CUSTOMER_UUID]" caption="以下資料的項目個數: CUSTOMER_UUID" measure="1" displayFolder="" measureGroup="範圍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以下資料的項目個數: 回覆天數]" caption="以下資料的項目個數: 回覆天數" measure="1" displayFolder="" measureGroup="範圍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以下資料的相異計數: CUSTOMER_UUID]" caption="以下資料的相異計數: CUSTOMER_UUID" measure="1" displayFolder="" measureGroup="範圍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以下資料的項目個數: 三天內回覆]" caption="以下資料的項目個數: 三天內回覆" measure="1" displayFolder="" measureGroup="範圍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以下資料的相異計數: 三天內回覆]" caption="以下資料的相異計數: 三天內回覆" measure="1" displayFolder="" measureGroup="範圍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以下資料的總和: 三天內回覆]" caption="以下資料的總和: 三天內回覆" measure="1" displayFolder="" measureGroup="範圍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加入人數" uniqueName="[加入人數]" caption="加入人數"/>
    <dimension name="範圍" uniqueName="[範圍]" caption="範圍"/>
  </dimensions>
  <measureGroups count="2">
    <measureGroup name="加入人數" caption="加入人數"/>
    <measureGroup name="範圍" caption="範圍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樞紐分析表1" cacheId="9" applyNumberFormats="0" applyBorderFormats="0" applyFontFormats="0" applyPatternFormats="0" applyAlignmentFormats="0" applyWidthHeightFormats="1" dataCaption=" " updatedVersion="8" minRefreshableVersion="3" useAutoFormatting="1" subtotalHiddenItems="1" itemPrintTitles="1" mergeItem="1" createdVersion="6" indent="0" compact="0" compactData="0" gridDropZones="1" multipleFieldFilters="0" rowHeaderCaption="廠區">
  <location ref="A120:E151" firstHeaderRow="1" firstDataRow="2" firstDataCol="3"/>
  <pivotFields count="5">
    <pivotField name="廠區" axis="axisRow" compact="0" allDrilled="1" outline="0" showAll="0" sortType="descending" defaultSubtotal="0" defaultAttributeDrillState="1">
      <items count="27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/>
    <pivotField name="通訊處" axis="axisRow" compact="0" allDrilled="1" outline="0" showAll="0" sortType="descending" defaultSubtotal="0" defaultAttributeDrillState="1">
      <items count="26">
        <item n="大銘" x="0"/>
        <item n="嘉銓" x="1"/>
        <item n="太陽" x="2"/>
        <item n="嘉誠" x="3"/>
        <item n="菁業" x="4"/>
        <item n="日兆" x="5"/>
        <item n="福鵬直轄" x="6"/>
        <item n="冠英" x="7"/>
        <item n="台南" x="8"/>
        <item n="金冠" x="9"/>
        <item n="金達" x="10"/>
        <item n="金豪" x="11"/>
        <item n="南英" x="12"/>
        <item n="立捷" x="13"/>
        <item n="今誠" x="14"/>
        <item n="金峰" x="15"/>
        <item n="巨朋" x="16"/>
        <item n="孔明" x="17"/>
        <item n="大昇" x="18"/>
        <item n="瑞興" x="19"/>
        <item n="北大" x="20"/>
        <item n="金躍" x="21"/>
        <item n="新竹直轄" x="22"/>
        <item n="亞威" x="23"/>
        <item n="七賢" x="24"/>
        <item n="高宏" x="2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/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4"/>
    <field x="0"/>
    <field x="2"/>
  </rowFields>
  <rowItems count="30">
    <i>
      <x/>
      <x v="5"/>
      <x v="5"/>
    </i>
    <i r="2">
      <x v="6"/>
    </i>
    <i r="1">
      <x v="4"/>
      <x v="4"/>
    </i>
    <i r="1">
      <x/>
      <x/>
    </i>
    <i r="1">
      <x v="3"/>
      <x v="3"/>
    </i>
    <i r="1">
      <x v="2"/>
      <x v="2"/>
    </i>
    <i r="1">
      <x v="1"/>
      <x v="1"/>
    </i>
    <i>
      <x v="1"/>
      <x v="9"/>
      <x v="10"/>
    </i>
    <i r="1">
      <x v="11"/>
      <x v="13"/>
    </i>
    <i r="1">
      <x v="6"/>
      <x v="7"/>
    </i>
    <i r="1">
      <x v="10"/>
      <x v="12"/>
    </i>
    <i r="2">
      <x v="11"/>
    </i>
    <i r="1">
      <x v="12"/>
      <x v="14"/>
    </i>
    <i r="1">
      <x v="7"/>
      <x v="8"/>
    </i>
    <i r="1">
      <x v="13"/>
      <x v="8"/>
    </i>
    <i r="1">
      <x v="8"/>
      <x v="9"/>
    </i>
    <i>
      <x v="2"/>
      <x v="21"/>
      <x v="21"/>
    </i>
    <i r="1">
      <x v="19"/>
      <x v="19"/>
    </i>
    <i r="1">
      <x v="15"/>
      <x v="16"/>
    </i>
    <i r="1">
      <x v="20"/>
      <x v="20"/>
    </i>
    <i r="1">
      <x v="18"/>
      <x v="17"/>
    </i>
    <i r="1">
      <x v="17"/>
      <x v="18"/>
    </i>
    <i r="1">
      <x v="14"/>
      <x v="15"/>
    </i>
    <i r="1">
      <x v="16"/>
      <x v="17"/>
    </i>
    <i r="1">
      <x v="23"/>
      <x v="16"/>
    </i>
    <i r="1">
      <x v="22"/>
      <x v="22"/>
    </i>
    <i r="1">
      <x v="24"/>
      <x v="23"/>
    </i>
    <i>
      <x v="3"/>
      <x v="26"/>
      <x v="25"/>
    </i>
    <i r="1">
      <x v="25"/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預約客戶數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三天內回覆" fld="3" baseField="2" baseItem="2"/>
  </dataFields>
  <formats count="75">
    <format dxfId="303">
      <pivotArea outline="0" fieldPosition="0">
        <references count="3">
          <reference field="4294967294" count="1" selected="0">
            <x v="0"/>
          </reference>
          <reference field="0" count="0" selected="0"/>
          <reference field="2" count="0" selected="0"/>
        </references>
      </pivotArea>
    </format>
    <format dxfId="302">
      <pivotArea field="0" type="button" dataOnly="0" labelOnly="1" outline="0" axis="axisRow" fieldPosition="1"/>
    </format>
    <format dxfId="301">
      <pivotArea field="2" type="button" dataOnly="0" labelOnly="1" outline="0" axis="axisRow" fieldPosition="2"/>
    </format>
    <format dxfId="300">
      <pivotArea dataOnly="0" labelOnly="1" outline="0" fieldPosition="0">
        <references count="1">
          <reference field="0" count="0"/>
        </references>
      </pivotArea>
    </format>
    <format dxfId="299">
      <pivotArea dataOnly="0" labelOnly="1" outline="0" fieldPosition="0">
        <references count="2">
          <reference field="0" count="1" selected="0">
            <x v="14"/>
          </reference>
          <reference field="2" count="1">
            <x v="15"/>
          </reference>
        </references>
      </pivotArea>
    </format>
    <format dxfId="298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297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296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295">
      <pivotArea dataOnly="0" labelOnly="1" outline="0" fieldPosition="0">
        <references count="2">
          <reference field="0" count="1" selected="0">
            <x v="3"/>
          </reference>
          <reference field="2" count="1">
            <x v="3"/>
          </reference>
        </references>
      </pivotArea>
    </format>
    <format dxfId="294">
      <pivotArea dataOnly="0" labelOnly="1" outline="0" fieldPosition="0">
        <references count="2">
          <reference field="0" count="1" selected="0">
            <x v="6"/>
          </reference>
          <reference field="2" count="1">
            <x v="7"/>
          </reference>
        </references>
      </pivotArea>
    </format>
    <format dxfId="293">
      <pivotArea dataOnly="0" labelOnly="1" outline="0" fieldPosition="0">
        <references count="2">
          <reference field="0" count="1" selected="0">
            <x v="15"/>
          </reference>
          <reference field="2" count="1">
            <x v="16"/>
          </reference>
        </references>
      </pivotArea>
    </format>
    <format dxfId="292">
      <pivotArea dataOnly="0" labelOnly="1" outline="0" fieldPosition="0">
        <references count="2">
          <reference field="0" count="1" selected="0">
            <x v="16"/>
          </reference>
          <reference field="2" count="1">
            <x v="17"/>
          </reference>
        </references>
      </pivotArea>
    </format>
    <format dxfId="291">
      <pivotArea dataOnly="0" labelOnly="1" outline="0" fieldPosition="0">
        <references count="2">
          <reference field="0" count="1" selected="0">
            <x v="17"/>
          </reference>
          <reference field="2" count="1">
            <x v="18"/>
          </reference>
        </references>
      </pivotArea>
    </format>
    <format dxfId="290">
      <pivotArea dataOnly="0" labelOnly="1" outline="0" fieldPosition="0">
        <references count="2">
          <reference field="0" count="1" selected="0">
            <x v="18"/>
          </reference>
          <reference field="2" count="1">
            <x v="17"/>
          </reference>
        </references>
      </pivotArea>
    </format>
    <format dxfId="289">
      <pivotArea dataOnly="0" labelOnly="1" outline="0" fieldPosition="0">
        <references count="2">
          <reference field="0" count="1" selected="0">
            <x v="19"/>
          </reference>
          <reference field="2" count="1">
            <x v="19"/>
          </reference>
        </references>
      </pivotArea>
    </format>
    <format dxfId="288">
      <pivotArea dataOnly="0" labelOnly="1" outline="0" fieldPosition="0">
        <references count="2">
          <reference field="0" count="1" selected="0">
            <x v="7"/>
          </reference>
          <reference field="2" count="1">
            <x v="8"/>
          </reference>
        </references>
      </pivotArea>
    </format>
    <format dxfId="287">
      <pivotArea dataOnly="0" labelOnly="1" outline="0" fieldPosition="0">
        <references count="2">
          <reference field="0" count="1" selected="0">
            <x v="8"/>
          </reference>
          <reference field="2" count="1">
            <x v="9"/>
          </reference>
        </references>
      </pivotArea>
    </format>
    <format dxfId="286">
      <pivotArea dataOnly="0" labelOnly="1" outline="0" fieldPosition="0">
        <references count="2">
          <reference field="0" count="1" selected="0">
            <x v="9"/>
          </reference>
          <reference field="2" count="1">
            <x v="10"/>
          </reference>
        </references>
      </pivotArea>
    </format>
    <format dxfId="285">
      <pivotArea dataOnly="0" labelOnly="1" outline="0" fieldPosition="0">
        <references count="2">
          <reference field="0" count="1" selected="0">
            <x v="10"/>
          </reference>
          <reference field="2" count="2">
            <x v="11"/>
            <x v="12"/>
          </reference>
        </references>
      </pivotArea>
    </format>
    <format dxfId="284">
      <pivotArea dataOnly="0" labelOnly="1" outline="0" fieldPosition="0">
        <references count="2">
          <reference field="0" count="1" selected="0">
            <x v="4"/>
          </reference>
          <reference field="2" count="1">
            <x v="4"/>
          </reference>
        </references>
      </pivotArea>
    </format>
    <format dxfId="283">
      <pivotArea dataOnly="0" labelOnly="1" outline="0" fieldPosition="0">
        <references count="2">
          <reference field="0" count="1" selected="0">
            <x v="5"/>
          </reference>
          <reference field="2" count="2">
            <x v="5"/>
            <x v="6"/>
          </reference>
        </references>
      </pivotArea>
    </format>
    <format dxfId="282">
      <pivotArea dataOnly="0" labelOnly="1" outline="0" fieldPosition="0">
        <references count="2">
          <reference field="0" count="1" selected="0">
            <x v="11"/>
          </reference>
          <reference field="2" count="1">
            <x v="13"/>
          </reference>
        </references>
      </pivotArea>
    </format>
    <format dxfId="281">
      <pivotArea dataOnly="0" labelOnly="1" outline="0" fieldPosition="0">
        <references count="2">
          <reference field="0" count="1" selected="0">
            <x v="12"/>
          </reference>
          <reference field="2" count="1">
            <x v="14"/>
          </reference>
        </references>
      </pivotArea>
    </format>
    <format dxfId="280">
      <pivotArea dataOnly="0" labelOnly="1" outline="0" fieldPosition="0">
        <references count="2">
          <reference field="0" count="1" selected="0">
            <x v="25"/>
          </reference>
          <reference field="2" count="1">
            <x v="24"/>
          </reference>
        </references>
      </pivotArea>
    </format>
    <format dxfId="279">
      <pivotArea dataOnly="0" labelOnly="1" outline="0" fieldPosition="0">
        <references count="2">
          <reference field="0" count="1" selected="0">
            <x v="20"/>
          </reference>
          <reference field="2" count="1">
            <x v="20"/>
          </reference>
        </references>
      </pivotArea>
    </format>
    <format dxfId="278">
      <pivotArea dataOnly="0" labelOnly="1" outline="0" fieldPosition="0">
        <references count="2">
          <reference field="0" count="1" selected="0">
            <x v="21"/>
          </reference>
          <reference field="2" count="1">
            <x v="21"/>
          </reference>
        </references>
      </pivotArea>
    </format>
    <format dxfId="277">
      <pivotArea dataOnly="0" labelOnly="1" outline="0" fieldPosition="0">
        <references count="2">
          <reference field="0" count="1" selected="0">
            <x v="26"/>
          </reference>
          <reference field="2" count="1">
            <x v="25"/>
          </reference>
        </references>
      </pivotArea>
    </format>
    <format dxfId="276">
      <pivotArea dataOnly="0" labelOnly="1" outline="0" fieldPosition="0">
        <references count="2">
          <reference field="0" count="1" selected="0">
            <x v="22"/>
          </reference>
          <reference field="2" count="1">
            <x v="22"/>
          </reference>
        </references>
      </pivotArea>
    </format>
    <format dxfId="275">
      <pivotArea dataOnly="0" labelOnly="1" outline="0" fieldPosition="0">
        <references count="2">
          <reference field="0" count="1" selected="0">
            <x v="13"/>
          </reference>
          <reference field="2" count="1">
            <x v="8"/>
          </reference>
        </references>
      </pivotArea>
    </format>
    <format dxfId="274">
      <pivotArea dataOnly="0" labelOnly="1" outline="0" fieldPosition="0">
        <references count="2">
          <reference field="0" count="1" selected="0">
            <x v="23"/>
          </reference>
          <reference field="2" count="1">
            <x v="16"/>
          </reference>
        </references>
      </pivotArea>
    </format>
    <format dxfId="273">
      <pivotArea dataOnly="0" labelOnly="1" outline="0" fieldPosition="0">
        <references count="2">
          <reference field="0" count="1" selected="0">
            <x v="24"/>
          </reference>
          <reference field="2" count="1">
            <x v="23"/>
          </reference>
        </references>
      </pivotArea>
    </format>
    <format dxfId="2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1">
      <pivotArea type="all" dataOnly="0" outline="0" fieldPosition="0"/>
    </format>
    <format dxfId="270">
      <pivotArea outline="0" collapsedLevelsAreSubtotals="1" fieldPosition="0"/>
    </format>
    <format dxfId="269">
      <pivotArea type="origin" dataOnly="0" labelOnly="1" outline="0" fieldPosition="0"/>
    </format>
    <format dxfId="268">
      <pivotArea field="-2" type="button" dataOnly="0" labelOnly="1" outline="0" axis="axisCol" fieldPosition="0"/>
    </format>
    <format dxfId="267">
      <pivotArea type="topRight" dataOnly="0" labelOnly="1" outline="0" fieldPosition="0"/>
    </format>
    <format dxfId="266">
      <pivotArea field="0" type="button" dataOnly="0" labelOnly="1" outline="0" axis="axisRow" fieldPosition="1"/>
    </format>
    <format dxfId="265">
      <pivotArea field="2" type="button" dataOnly="0" labelOnly="1" outline="0" axis="axisRow" fieldPosition="2"/>
    </format>
    <format dxfId="264">
      <pivotArea dataOnly="0" labelOnly="1" outline="0" fieldPosition="0">
        <references count="1">
          <reference field="0" count="0"/>
        </references>
      </pivotArea>
    </format>
    <format dxfId="263">
      <pivotArea dataOnly="0" labelOnly="1" grandRow="1" outline="0" fieldPosition="0"/>
    </format>
    <format dxfId="262">
      <pivotArea dataOnly="0" labelOnly="1" outline="0" fieldPosition="0">
        <references count="2">
          <reference field="0" count="1" selected="0">
            <x v="14"/>
          </reference>
          <reference field="2" count="1">
            <x v="15"/>
          </reference>
        </references>
      </pivotArea>
    </format>
    <format dxfId="261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260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259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258">
      <pivotArea dataOnly="0" labelOnly="1" outline="0" fieldPosition="0">
        <references count="2">
          <reference field="0" count="1" selected="0">
            <x v="3"/>
          </reference>
          <reference field="2" count="1">
            <x v="3"/>
          </reference>
        </references>
      </pivotArea>
    </format>
    <format dxfId="257">
      <pivotArea dataOnly="0" labelOnly="1" outline="0" fieldPosition="0">
        <references count="2">
          <reference field="0" count="1" selected="0">
            <x v="6"/>
          </reference>
          <reference field="2" count="1">
            <x v="7"/>
          </reference>
        </references>
      </pivotArea>
    </format>
    <format dxfId="256">
      <pivotArea dataOnly="0" labelOnly="1" outline="0" fieldPosition="0">
        <references count="2">
          <reference field="0" count="1" selected="0">
            <x v="15"/>
          </reference>
          <reference field="2" count="1">
            <x v="16"/>
          </reference>
        </references>
      </pivotArea>
    </format>
    <format dxfId="255">
      <pivotArea dataOnly="0" labelOnly="1" outline="0" fieldPosition="0">
        <references count="2">
          <reference field="0" count="1" selected="0">
            <x v="16"/>
          </reference>
          <reference field="2" count="1">
            <x v="17"/>
          </reference>
        </references>
      </pivotArea>
    </format>
    <format dxfId="254">
      <pivotArea dataOnly="0" labelOnly="1" outline="0" fieldPosition="0">
        <references count="2">
          <reference field="0" count="1" selected="0">
            <x v="17"/>
          </reference>
          <reference field="2" count="1">
            <x v="18"/>
          </reference>
        </references>
      </pivotArea>
    </format>
    <format dxfId="253">
      <pivotArea dataOnly="0" labelOnly="1" outline="0" fieldPosition="0">
        <references count="2">
          <reference field="0" count="1" selected="0">
            <x v="18"/>
          </reference>
          <reference field="2" count="1">
            <x v="17"/>
          </reference>
        </references>
      </pivotArea>
    </format>
    <format dxfId="252">
      <pivotArea dataOnly="0" labelOnly="1" outline="0" fieldPosition="0">
        <references count="2">
          <reference field="0" count="1" selected="0">
            <x v="19"/>
          </reference>
          <reference field="2" count="1">
            <x v="19"/>
          </reference>
        </references>
      </pivotArea>
    </format>
    <format dxfId="251">
      <pivotArea dataOnly="0" labelOnly="1" outline="0" fieldPosition="0">
        <references count="2">
          <reference field="0" count="1" selected="0">
            <x v="7"/>
          </reference>
          <reference field="2" count="1">
            <x v="8"/>
          </reference>
        </references>
      </pivotArea>
    </format>
    <format dxfId="250">
      <pivotArea dataOnly="0" labelOnly="1" outline="0" fieldPosition="0">
        <references count="2">
          <reference field="0" count="1" selected="0">
            <x v="8"/>
          </reference>
          <reference field="2" count="1">
            <x v="9"/>
          </reference>
        </references>
      </pivotArea>
    </format>
    <format dxfId="249">
      <pivotArea dataOnly="0" labelOnly="1" outline="0" fieldPosition="0">
        <references count="2">
          <reference field="0" count="1" selected="0">
            <x v="9"/>
          </reference>
          <reference field="2" count="1">
            <x v="10"/>
          </reference>
        </references>
      </pivotArea>
    </format>
    <format dxfId="248">
      <pivotArea dataOnly="0" labelOnly="1" outline="0" fieldPosition="0">
        <references count="2">
          <reference field="0" count="1" selected="0">
            <x v="10"/>
          </reference>
          <reference field="2" count="2">
            <x v="11"/>
            <x v="12"/>
          </reference>
        </references>
      </pivotArea>
    </format>
    <format dxfId="247">
      <pivotArea dataOnly="0" labelOnly="1" outline="0" fieldPosition="0">
        <references count="2">
          <reference field="0" count="1" selected="0">
            <x v="4"/>
          </reference>
          <reference field="2" count="1">
            <x v="4"/>
          </reference>
        </references>
      </pivotArea>
    </format>
    <format dxfId="246">
      <pivotArea dataOnly="0" labelOnly="1" outline="0" fieldPosition="0">
        <references count="2">
          <reference field="0" count="1" selected="0">
            <x v="5"/>
          </reference>
          <reference field="2" count="2">
            <x v="5"/>
            <x v="6"/>
          </reference>
        </references>
      </pivotArea>
    </format>
    <format dxfId="245">
      <pivotArea dataOnly="0" labelOnly="1" outline="0" fieldPosition="0">
        <references count="2">
          <reference field="0" count="1" selected="0">
            <x v="11"/>
          </reference>
          <reference field="2" count="1">
            <x v="13"/>
          </reference>
        </references>
      </pivotArea>
    </format>
    <format dxfId="244">
      <pivotArea dataOnly="0" labelOnly="1" outline="0" fieldPosition="0">
        <references count="2">
          <reference field="0" count="1" selected="0">
            <x v="12"/>
          </reference>
          <reference field="2" count="1">
            <x v="14"/>
          </reference>
        </references>
      </pivotArea>
    </format>
    <format dxfId="243">
      <pivotArea dataOnly="0" labelOnly="1" outline="0" fieldPosition="0">
        <references count="2">
          <reference field="0" count="1" selected="0">
            <x v="25"/>
          </reference>
          <reference field="2" count="1">
            <x v="24"/>
          </reference>
        </references>
      </pivotArea>
    </format>
    <format dxfId="242">
      <pivotArea dataOnly="0" labelOnly="1" outline="0" fieldPosition="0">
        <references count="2">
          <reference field="0" count="1" selected="0">
            <x v="20"/>
          </reference>
          <reference field="2" count="1">
            <x v="20"/>
          </reference>
        </references>
      </pivotArea>
    </format>
    <format dxfId="241">
      <pivotArea dataOnly="0" labelOnly="1" outline="0" fieldPosition="0">
        <references count="2">
          <reference field="0" count="1" selected="0">
            <x v="21"/>
          </reference>
          <reference field="2" count="1">
            <x v="21"/>
          </reference>
        </references>
      </pivotArea>
    </format>
    <format dxfId="240">
      <pivotArea dataOnly="0" labelOnly="1" outline="0" fieldPosition="0">
        <references count="2">
          <reference field="0" count="1" selected="0">
            <x v="26"/>
          </reference>
          <reference field="2" count="1">
            <x v="25"/>
          </reference>
        </references>
      </pivotArea>
    </format>
    <format dxfId="239">
      <pivotArea dataOnly="0" labelOnly="1" outline="0" fieldPosition="0">
        <references count="2">
          <reference field="0" count="1" selected="0">
            <x v="22"/>
          </reference>
          <reference field="2" count="1">
            <x v="22"/>
          </reference>
        </references>
      </pivotArea>
    </format>
    <format dxfId="238">
      <pivotArea dataOnly="0" labelOnly="1" outline="0" fieldPosition="0">
        <references count="2">
          <reference field="0" count="1" selected="0">
            <x v="13"/>
          </reference>
          <reference field="2" count="1">
            <x v="8"/>
          </reference>
        </references>
      </pivotArea>
    </format>
    <format dxfId="237">
      <pivotArea dataOnly="0" labelOnly="1" outline="0" fieldPosition="0">
        <references count="2">
          <reference field="0" count="1" selected="0">
            <x v="23"/>
          </reference>
          <reference field="2" count="1">
            <x v="16"/>
          </reference>
        </references>
      </pivotArea>
    </format>
    <format dxfId="236">
      <pivotArea dataOnly="0" labelOnly="1" outline="0" fieldPosition="0">
        <references count="2">
          <reference field="0" count="1" selected="0">
            <x v="24"/>
          </reference>
          <reference field="2" count="1">
            <x v="23"/>
          </reference>
        </references>
      </pivotArea>
    </format>
    <format dxfId="2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4">
      <pivotArea dataOnly="0" labelOnly="1" outline="0" fieldPosition="0">
        <references count="1">
          <reference field="0" count="1">
            <x v="10"/>
          </reference>
        </references>
      </pivotArea>
    </format>
    <format dxfId="233">
      <pivotArea dataOnly="0" labelOnly="1" outline="0" fieldPosition="0">
        <references count="1">
          <reference field="0" count="1">
            <x v="10"/>
          </reference>
        </references>
      </pivotArea>
    </format>
    <format dxfId="7">
      <pivotArea field="4" type="button" dataOnly="0" labelOnly="1" outline="0" axis="axisRow" fieldPosition="0"/>
    </format>
    <format dxfId="5">
      <pivotArea field="0" type="button" dataOnly="0" labelOnly="1" outline="0" axis="axisRow" fieldPosition="1"/>
    </format>
    <format dxfId="3">
      <pivotArea field="2" type="button" dataOnly="0" labelOnly="1" outline="0" axis="axisRow" fieldPosition="2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預約客戶數"/>
    <pivotHierarchy dragToData="1"/>
    <pivotHierarchy dragToData="1" caption="以下資料的相異計數: 三天內回覆"/>
    <pivotHierarchy dragToData="1" caption="三天內回覆"/>
  </pivotHierarchies>
  <pivotTableStyleInfo name="PivotStyleLight16" showRowHeaders="1" showColHeaders="1" showRowStripes="0" showColStripes="0" showLastColumn="1"/>
  <rowHierarchiesUsage count="3">
    <rowHierarchyUsage hierarchyUsage="5"/>
    <rowHierarchyUsage hierarchyUsage="10"/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_回覆時程!$A:$O">
        <x15:activeTabTopLevelEntity name="[範圍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backgroundRefresh="0" adjustColumnWidth="0" connectionId="1" xr16:uid="{00000000-0016-0000-0000-000000000000}" autoFormatId="16" applyNumberFormats="0" applyBorderFormats="0" applyFontFormats="0" applyPatternFormats="0" applyAlignmentFormats="0" applyWidthHeightFormats="0">
  <queryTableRefresh nextId="6">
    <queryTableFields count="5">
      <queryTableField id="1" name="加入LINE OA日期" tableColumnId="6"/>
      <queryTableField id="2" name="由HR公告加入" tableColumnId="7"/>
      <queryTableField id="3" name="由服務小卡加入" tableColumnId="8"/>
      <queryTableField id="4" name="由好友推薦加入" tableColumnId="9"/>
      <queryTableField id="5" name="總加入人數" tableColumnId="10"/>
    </queryTableFields>
  </queryTableRefresh>
  <extLst>
    <ext xmlns:x15="http://schemas.microsoft.com/office/spreadsheetml/2010/11/main" uri="{883FBD77-0823-4a55-B5E3-86C4891E6966}">
      <x15:queryTable sourceDataName="查詢 - 加入人數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加入人數" displayName="加入人數" ref="A2:E112" tableType="queryTable" totalsRowShown="0" headerRowDxfId="9" dataDxfId="8">
  <autoFilter ref="A2:E112" xr:uid="{00000000-0009-0000-0100-000001000000}"/>
  <sortState xmlns:xlrd2="http://schemas.microsoft.com/office/spreadsheetml/2017/richdata2" ref="A3:E112">
    <sortCondition ref="A10:A52"/>
  </sortState>
  <tableColumns count="5">
    <tableColumn id="6" xr3:uid="{00000000-0010-0000-0000-000006000000}" uniqueName="6" name="加入LINE OA日期" queryTableFieldId="1" dataDxfId="14"/>
    <tableColumn id="7" xr3:uid="{00000000-0010-0000-0000-000007000000}" uniqueName="7" name="由HR公告加入" queryTableFieldId="2" dataDxfId="13"/>
    <tableColumn id="8" xr3:uid="{00000000-0010-0000-0000-000008000000}" uniqueName="8" name="由服務小卡加入" queryTableFieldId="3" dataDxfId="12"/>
    <tableColumn id="9" xr3:uid="{00000000-0010-0000-0000-000009000000}" uniqueName="9" name="由好友推薦加入" queryTableFieldId="4" dataDxfId="11"/>
    <tableColumn id="10" xr3:uid="{00000000-0010-0000-0000-00000A000000}" uniqueName="10" name="總加入人數" queryTableFieldId="5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5"/>
  <sheetViews>
    <sheetView tabSelected="1" workbookViewId="0">
      <selection activeCell="E11" sqref="E11"/>
    </sheetView>
  </sheetViews>
  <sheetFormatPr defaultRowHeight="15.75" x14ac:dyDescent="0.25"/>
  <cols>
    <col min="1" max="1" width="22.625" style="2" bestFit="1" customWidth="1"/>
    <col min="2" max="2" width="19.25" style="2" bestFit="1" customWidth="1"/>
    <col min="3" max="4" width="20.375" style="2" bestFit="1" customWidth="1"/>
    <col min="5" max="5" width="15.875" style="2" bestFit="1" customWidth="1"/>
    <col min="6" max="6" width="14.125" style="2" bestFit="1" customWidth="1"/>
    <col min="7" max="7" width="15" style="2" customWidth="1"/>
    <col min="8" max="16384" width="9" style="2"/>
  </cols>
  <sheetData>
    <row r="1" spans="1:5" ht="16.5" x14ac:dyDescent="0.25">
      <c r="A1" s="12" t="s">
        <v>988</v>
      </c>
      <c r="B1" s="12"/>
      <c r="C1" s="12"/>
    </row>
    <row r="2" spans="1:5" x14ac:dyDescent="0.25">
      <c r="A2" s="9" t="s">
        <v>98</v>
      </c>
      <c r="B2" s="9" t="s">
        <v>984</v>
      </c>
      <c r="C2" s="9" t="s">
        <v>985</v>
      </c>
      <c r="D2" s="9" t="s">
        <v>986</v>
      </c>
      <c r="E2" s="9" t="s">
        <v>982</v>
      </c>
    </row>
    <row r="3" spans="1:5" x14ac:dyDescent="0.25">
      <c r="A3" s="18">
        <v>45993</v>
      </c>
      <c r="B3" s="19">
        <v>1</v>
      </c>
      <c r="C3" s="19">
        <v>0</v>
      </c>
      <c r="D3" s="19">
        <v>0</v>
      </c>
      <c r="E3" s="19">
        <v>1</v>
      </c>
    </row>
    <row r="4" spans="1:5" x14ac:dyDescent="0.25">
      <c r="A4" s="18">
        <v>45996</v>
      </c>
      <c r="B4" s="19">
        <v>1</v>
      </c>
      <c r="C4" s="19">
        <v>0</v>
      </c>
      <c r="D4" s="19">
        <v>0</v>
      </c>
      <c r="E4" s="19">
        <v>1</v>
      </c>
    </row>
    <row r="5" spans="1:5" x14ac:dyDescent="0.25">
      <c r="A5" s="18">
        <v>45999</v>
      </c>
      <c r="B5" s="19">
        <v>2</v>
      </c>
      <c r="C5" s="19">
        <v>0</v>
      </c>
      <c r="D5" s="19">
        <v>0</v>
      </c>
      <c r="E5" s="19">
        <v>2</v>
      </c>
    </row>
    <row r="6" spans="1:5" x14ac:dyDescent="0.25">
      <c r="A6" s="18">
        <v>46000</v>
      </c>
      <c r="B6" s="19">
        <v>1</v>
      </c>
      <c r="C6" s="19">
        <v>1</v>
      </c>
      <c r="D6" s="19">
        <v>0</v>
      </c>
      <c r="E6" s="19">
        <v>1</v>
      </c>
    </row>
    <row r="7" spans="1:5" x14ac:dyDescent="0.25">
      <c r="A7" s="18">
        <v>46002</v>
      </c>
      <c r="B7" s="19">
        <v>14</v>
      </c>
      <c r="C7" s="19">
        <v>1</v>
      </c>
      <c r="D7" s="19">
        <v>4</v>
      </c>
      <c r="E7" s="19">
        <v>18</v>
      </c>
    </row>
    <row r="8" spans="1:5" x14ac:dyDescent="0.25">
      <c r="A8" s="18">
        <v>46006</v>
      </c>
      <c r="B8" s="19">
        <v>279</v>
      </c>
      <c r="C8" s="19">
        <v>3</v>
      </c>
      <c r="D8" s="19">
        <v>160</v>
      </c>
      <c r="E8" s="19">
        <v>439</v>
      </c>
    </row>
    <row r="9" spans="1:5" x14ac:dyDescent="0.25">
      <c r="A9" s="18">
        <v>46007</v>
      </c>
      <c r="B9" s="19">
        <v>95</v>
      </c>
      <c r="C9" s="19">
        <v>2</v>
      </c>
      <c r="D9" s="19">
        <v>57</v>
      </c>
      <c r="E9" s="19">
        <v>152</v>
      </c>
    </row>
    <row r="10" spans="1:5" x14ac:dyDescent="0.25">
      <c r="A10" s="18">
        <v>46008</v>
      </c>
      <c r="B10" s="19">
        <v>87</v>
      </c>
      <c r="C10" s="19">
        <v>10</v>
      </c>
      <c r="D10" s="19">
        <v>32</v>
      </c>
      <c r="E10" s="19">
        <v>119</v>
      </c>
    </row>
    <row r="11" spans="1:5" x14ac:dyDescent="0.25">
      <c r="A11" s="18">
        <v>46009</v>
      </c>
      <c r="B11" s="19">
        <v>176</v>
      </c>
      <c r="C11" s="19">
        <v>8</v>
      </c>
      <c r="D11" s="19">
        <v>87</v>
      </c>
      <c r="E11" s="19">
        <v>263</v>
      </c>
    </row>
    <row r="12" spans="1:5" x14ac:dyDescent="0.25">
      <c r="A12" s="18">
        <v>46010</v>
      </c>
      <c r="B12" s="19">
        <v>69</v>
      </c>
      <c r="C12" s="19">
        <v>4</v>
      </c>
      <c r="D12" s="19">
        <v>30</v>
      </c>
      <c r="E12" s="19">
        <v>99</v>
      </c>
    </row>
    <row r="13" spans="1:5" x14ac:dyDescent="0.25">
      <c r="A13" s="18">
        <v>46011</v>
      </c>
      <c r="B13" s="19">
        <v>24</v>
      </c>
      <c r="C13" s="19">
        <v>1</v>
      </c>
      <c r="D13" s="19">
        <v>6</v>
      </c>
      <c r="E13" s="19">
        <v>30</v>
      </c>
    </row>
    <row r="14" spans="1:5" x14ac:dyDescent="0.25">
      <c r="A14" s="18">
        <v>46012</v>
      </c>
      <c r="B14" s="19">
        <v>26</v>
      </c>
      <c r="C14" s="19">
        <v>1</v>
      </c>
      <c r="D14" s="19">
        <v>6</v>
      </c>
      <c r="E14" s="19">
        <v>32</v>
      </c>
    </row>
    <row r="15" spans="1:5" x14ac:dyDescent="0.25">
      <c r="A15" s="18">
        <v>46013</v>
      </c>
      <c r="B15" s="19">
        <v>81</v>
      </c>
      <c r="C15" s="19">
        <v>5</v>
      </c>
      <c r="D15" s="19">
        <v>18</v>
      </c>
      <c r="E15" s="19">
        <v>99</v>
      </c>
    </row>
    <row r="16" spans="1:5" x14ac:dyDescent="0.25">
      <c r="A16" s="18">
        <v>46014</v>
      </c>
      <c r="B16" s="19">
        <v>46</v>
      </c>
      <c r="C16" s="19">
        <v>4</v>
      </c>
      <c r="D16" s="19">
        <v>14</v>
      </c>
      <c r="E16" s="19">
        <v>60</v>
      </c>
    </row>
    <row r="17" spans="1:5" x14ac:dyDescent="0.25">
      <c r="A17" s="18">
        <v>46015</v>
      </c>
      <c r="B17" s="19">
        <v>51</v>
      </c>
      <c r="C17" s="19">
        <v>6</v>
      </c>
      <c r="D17" s="19">
        <v>25</v>
      </c>
      <c r="E17" s="19">
        <v>76</v>
      </c>
    </row>
    <row r="18" spans="1:5" x14ac:dyDescent="0.25">
      <c r="A18" s="18">
        <v>46016</v>
      </c>
      <c r="B18" s="19">
        <v>20</v>
      </c>
      <c r="C18" s="19">
        <v>1</v>
      </c>
      <c r="D18" s="19">
        <v>9</v>
      </c>
      <c r="E18" s="19">
        <v>29</v>
      </c>
    </row>
    <row r="19" spans="1:5" x14ac:dyDescent="0.25">
      <c r="A19" s="18">
        <v>46017</v>
      </c>
      <c r="B19" s="19">
        <v>36</v>
      </c>
      <c r="C19" s="19">
        <v>2</v>
      </c>
      <c r="D19" s="19">
        <v>18</v>
      </c>
      <c r="E19" s="19">
        <v>54</v>
      </c>
    </row>
    <row r="20" spans="1:5" x14ac:dyDescent="0.25">
      <c r="A20" s="18">
        <v>46018</v>
      </c>
      <c r="B20" s="19">
        <v>9</v>
      </c>
      <c r="C20" s="19">
        <v>1</v>
      </c>
      <c r="D20" s="19">
        <v>5</v>
      </c>
      <c r="E20" s="19">
        <v>14</v>
      </c>
    </row>
    <row r="21" spans="1:5" x14ac:dyDescent="0.25">
      <c r="A21" s="18">
        <v>46019</v>
      </c>
      <c r="B21" s="19">
        <v>15</v>
      </c>
      <c r="C21" s="19">
        <v>0</v>
      </c>
      <c r="D21" s="19">
        <v>5</v>
      </c>
      <c r="E21" s="19">
        <v>20</v>
      </c>
    </row>
    <row r="22" spans="1:5" x14ac:dyDescent="0.25">
      <c r="A22" s="18">
        <v>46020</v>
      </c>
      <c r="B22" s="19">
        <v>20</v>
      </c>
      <c r="C22" s="19">
        <v>2</v>
      </c>
      <c r="D22" s="19">
        <v>5</v>
      </c>
      <c r="E22" s="19">
        <v>25</v>
      </c>
    </row>
    <row r="23" spans="1:5" x14ac:dyDescent="0.25">
      <c r="A23" s="18">
        <v>46021</v>
      </c>
      <c r="B23" s="19">
        <v>21</v>
      </c>
      <c r="C23" s="19">
        <v>2</v>
      </c>
      <c r="D23" s="19">
        <v>4</v>
      </c>
      <c r="E23" s="19">
        <v>25</v>
      </c>
    </row>
    <row r="24" spans="1:5" x14ac:dyDescent="0.25">
      <c r="A24" s="18">
        <v>46022</v>
      </c>
      <c r="B24" s="19">
        <v>11</v>
      </c>
      <c r="C24" s="19">
        <v>1</v>
      </c>
      <c r="D24" s="19">
        <v>4</v>
      </c>
      <c r="E24" s="19">
        <v>15</v>
      </c>
    </row>
    <row r="25" spans="1:5" x14ac:dyDescent="0.25">
      <c r="A25" s="18">
        <v>46023</v>
      </c>
      <c r="B25" s="19">
        <v>8</v>
      </c>
      <c r="C25" s="19">
        <v>1</v>
      </c>
      <c r="D25" s="19">
        <v>2</v>
      </c>
      <c r="E25" s="19">
        <v>10</v>
      </c>
    </row>
    <row r="26" spans="1:5" x14ac:dyDescent="0.25">
      <c r="A26" s="18">
        <v>46024</v>
      </c>
      <c r="B26" s="19">
        <v>12</v>
      </c>
      <c r="C26" s="19">
        <v>0</v>
      </c>
      <c r="D26" s="19">
        <v>6</v>
      </c>
      <c r="E26" s="19">
        <v>18</v>
      </c>
    </row>
    <row r="27" spans="1:5" x14ac:dyDescent="0.25">
      <c r="A27" s="18">
        <v>46025</v>
      </c>
      <c r="B27" s="19">
        <v>5</v>
      </c>
      <c r="C27" s="19">
        <v>1</v>
      </c>
      <c r="D27" s="19">
        <v>0</v>
      </c>
      <c r="E27" s="19">
        <v>5</v>
      </c>
    </row>
    <row r="28" spans="1:5" x14ac:dyDescent="0.25">
      <c r="A28" s="18">
        <v>46026</v>
      </c>
      <c r="B28" s="19">
        <v>10</v>
      </c>
      <c r="C28" s="19">
        <v>2</v>
      </c>
      <c r="D28" s="19">
        <v>1</v>
      </c>
      <c r="E28" s="19">
        <v>11</v>
      </c>
    </row>
    <row r="29" spans="1:5" x14ac:dyDescent="0.25">
      <c r="A29" s="18">
        <v>46027</v>
      </c>
      <c r="B29" s="19">
        <v>27</v>
      </c>
      <c r="C29" s="19">
        <v>3</v>
      </c>
      <c r="D29" s="19">
        <v>3</v>
      </c>
      <c r="E29" s="19">
        <v>30</v>
      </c>
    </row>
    <row r="30" spans="1:5" x14ac:dyDescent="0.25">
      <c r="A30" s="18">
        <v>46028</v>
      </c>
      <c r="B30" s="19">
        <v>19</v>
      </c>
      <c r="C30" s="19">
        <v>6</v>
      </c>
      <c r="D30" s="19">
        <v>4</v>
      </c>
      <c r="E30" s="19">
        <v>23</v>
      </c>
    </row>
    <row r="31" spans="1:5" x14ac:dyDescent="0.25">
      <c r="A31" s="18">
        <v>46029</v>
      </c>
      <c r="B31" s="19">
        <v>13</v>
      </c>
      <c r="C31" s="19">
        <v>3</v>
      </c>
      <c r="D31" s="19">
        <v>1</v>
      </c>
      <c r="E31" s="19">
        <v>14</v>
      </c>
    </row>
    <row r="32" spans="1:5" x14ac:dyDescent="0.25">
      <c r="A32" s="18">
        <v>46030</v>
      </c>
      <c r="B32" s="19">
        <v>15</v>
      </c>
      <c r="C32" s="19">
        <v>4</v>
      </c>
      <c r="D32" s="19">
        <v>2</v>
      </c>
      <c r="E32" s="19">
        <v>17</v>
      </c>
    </row>
    <row r="33" spans="1:5" x14ac:dyDescent="0.25">
      <c r="A33" s="18">
        <v>46031</v>
      </c>
      <c r="B33" s="19">
        <v>13</v>
      </c>
      <c r="C33" s="19">
        <v>1</v>
      </c>
      <c r="D33" s="19">
        <v>2</v>
      </c>
      <c r="E33" s="19">
        <v>15</v>
      </c>
    </row>
    <row r="34" spans="1:5" x14ac:dyDescent="0.25">
      <c r="A34" s="18">
        <v>46032</v>
      </c>
      <c r="B34" s="19">
        <v>6</v>
      </c>
      <c r="C34" s="19">
        <v>1</v>
      </c>
      <c r="D34" s="19">
        <v>0</v>
      </c>
      <c r="E34" s="19">
        <v>6</v>
      </c>
    </row>
    <row r="35" spans="1:5" x14ac:dyDescent="0.25">
      <c r="A35" s="18">
        <v>46033</v>
      </c>
      <c r="B35" s="19">
        <v>5</v>
      </c>
      <c r="C35" s="19">
        <v>0</v>
      </c>
      <c r="D35" s="19">
        <v>0</v>
      </c>
      <c r="E35" s="19">
        <v>5</v>
      </c>
    </row>
    <row r="36" spans="1:5" x14ac:dyDescent="0.25">
      <c r="A36" s="18">
        <v>46034</v>
      </c>
      <c r="B36" s="19">
        <v>16</v>
      </c>
      <c r="C36" s="19">
        <v>2</v>
      </c>
      <c r="D36" s="19">
        <v>4</v>
      </c>
      <c r="E36" s="19">
        <v>20</v>
      </c>
    </row>
    <row r="37" spans="1:5" x14ac:dyDescent="0.25">
      <c r="A37" s="18">
        <v>46035</v>
      </c>
      <c r="B37" s="19">
        <v>17</v>
      </c>
      <c r="C37" s="19">
        <v>4</v>
      </c>
      <c r="D37" s="19">
        <v>0</v>
      </c>
      <c r="E37" s="19">
        <v>17</v>
      </c>
    </row>
    <row r="38" spans="1:5" x14ac:dyDescent="0.25">
      <c r="A38" s="18">
        <v>46036</v>
      </c>
      <c r="B38" s="19">
        <v>17</v>
      </c>
      <c r="C38" s="19">
        <v>3</v>
      </c>
      <c r="D38" s="19">
        <v>1</v>
      </c>
      <c r="E38" s="19">
        <v>18</v>
      </c>
    </row>
    <row r="39" spans="1:5" x14ac:dyDescent="0.25">
      <c r="A39" s="18">
        <v>46037</v>
      </c>
      <c r="B39" s="19">
        <v>6</v>
      </c>
      <c r="C39" s="19">
        <v>1</v>
      </c>
      <c r="D39" s="19">
        <v>0</v>
      </c>
      <c r="E39" s="19">
        <v>6</v>
      </c>
    </row>
    <row r="40" spans="1:5" x14ac:dyDescent="0.25">
      <c r="A40" s="18">
        <v>46038</v>
      </c>
      <c r="B40" s="19">
        <v>6</v>
      </c>
      <c r="C40" s="19">
        <v>1</v>
      </c>
      <c r="D40" s="19">
        <v>0</v>
      </c>
      <c r="E40" s="19">
        <v>6</v>
      </c>
    </row>
    <row r="41" spans="1:5" x14ac:dyDescent="0.25">
      <c r="A41" s="18">
        <v>46039</v>
      </c>
      <c r="B41" s="19">
        <v>5</v>
      </c>
      <c r="C41" s="19">
        <v>0</v>
      </c>
      <c r="D41" s="19">
        <v>4</v>
      </c>
      <c r="E41" s="19">
        <v>9</v>
      </c>
    </row>
    <row r="42" spans="1:5" x14ac:dyDescent="0.25">
      <c r="A42" s="18">
        <v>46040</v>
      </c>
      <c r="B42" s="19">
        <v>1</v>
      </c>
      <c r="C42" s="19">
        <v>0</v>
      </c>
      <c r="D42" s="19">
        <v>0</v>
      </c>
      <c r="E42" s="19">
        <v>1</v>
      </c>
    </row>
    <row r="43" spans="1:5" x14ac:dyDescent="0.25">
      <c r="A43" s="18">
        <v>46041</v>
      </c>
      <c r="B43" s="19">
        <v>14</v>
      </c>
      <c r="C43" s="19">
        <v>2</v>
      </c>
      <c r="D43" s="19">
        <v>2</v>
      </c>
      <c r="E43" s="19">
        <v>16</v>
      </c>
    </row>
    <row r="44" spans="1:5" x14ac:dyDescent="0.25">
      <c r="A44" s="18">
        <v>46042</v>
      </c>
      <c r="B44" s="19">
        <v>8</v>
      </c>
      <c r="C44" s="19">
        <v>0</v>
      </c>
      <c r="D44" s="19">
        <v>1</v>
      </c>
      <c r="E44" s="19">
        <v>9</v>
      </c>
    </row>
    <row r="45" spans="1:5" x14ac:dyDescent="0.25">
      <c r="A45" s="18">
        <v>46043</v>
      </c>
      <c r="B45" s="19">
        <v>7</v>
      </c>
      <c r="C45" s="19">
        <v>0</v>
      </c>
      <c r="D45" s="19">
        <v>1</v>
      </c>
      <c r="E45" s="19">
        <v>8</v>
      </c>
    </row>
    <row r="46" spans="1:5" x14ac:dyDescent="0.25">
      <c r="A46" s="18">
        <v>46044</v>
      </c>
      <c r="B46" s="19">
        <v>6</v>
      </c>
      <c r="C46" s="19">
        <v>1</v>
      </c>
      <c r="D46" s="19">
        <v>0</v>
      </c>
      <c r="E46" s="19">
        <v>6</v>
      </c>
    </row>
    <row r="47" spans="1:5" x14ac:dyDescent="0.25">
      <c r="A47" s="18">
        <v>46045</v>
      </c>
      <c r="B47" s="19">
        <v>7</v>
      </c>
      <c r="C47" s="19">
        <v>2</v>
      </c>
      <c r="D47" s="19">
        <v>4</v>
      </c>
      <c r="E47" s="19">
        <v>11</v>
      </c>
    </row>
    <row r="48" spans="1:5" x14ac:dyDescent="0.25">
      <c r="A48" s="18">
        <v>46046</v>
      </c>
      <c r="B48" s="19">
        <v>5</v>
      </c>
      <c r="C48" s="19">
        <v>0</v>
      </c>
      <c r="D48" s="19">
        <v>1</v>
      </c>
      <c r="E48" s="19">
        <v>6</v>
      </c>
    </row>
    <row r="49" spans="1:5" x14ac:dyDescent="0.25">
      <c r="A49" s="18">
        <v>46047</v>
      </c>
      <c r="B49" s="19">
        <v>7</v>
      </c>
      <c r="C49" s="19">
        <v>2</v>
      </c>
      <c r="D49" s="19">
        <v>0</v>
      </c>
      <c r="E49" s="19">
        <v>7</v>
      </c>
    </row>
    <row r="50" spans="1:5" x14ac:dyDescent="0.25">
      <c r="A50" s="18">
        <v>46048</v>
      </c>
      <c r="B50" s="19">
        <v>11</v>
      </c>
      <c r="C50" s="19">
        <v>1</v>
      </c>
      <c r="D50" s="19">
        <v>1</v>
      </c>
      <c r="E50" s="19">
        <v>12</v>
      </c>
    </row>
    <row r="51" spans="1:5" x14ac:dyDescent="0.25">
      <c r="A51" s="18">
        <v>46049</v>
      </c>
      <c r="B51" s="19">
        <v>9</v>
      </c>
      <c r="C51" s="19">
        <v>2</v>
      </c>
      <c r="D51" s="19">
        <v>1</v>
      </c>
      <c r="E51" s="19">
        <v>10</v>
      </c>
    </row>
    <row r="52" spans="1:5" x14ac:dyDescent="0.25">
      <c r="A52" s="18">
        <v>46050</v>
      </c>
      <c r="B52" s="19">
        <v>4</v>
      </c>
      <c r="C52" s="19">
        <v>0</v>
      </c>
      <c r="D52" s="19">
        <v>2</v>
      </c>
      <c r="E52" s="19">
        <v>6</v>
      </c>
    </row>
    <row r="53" spans="1:5" x14ac:dyDescent="0.25">
      <c r="A53" s="18">
        <v>46051</v>
      </c>
      <c r="B53" s="19">
        <v>5</v>
      </c>
      <c r="C53" s="19">
        <v>1</v>
      </c>
      <c r="D53" s="19">
        <v>1</v>
      </c>
      <c r="E53" s="19">
        <v>6</v>
      </c>
    </row>
    <row r="54" spans="1:5" x14ac:dyDescent="0.25">
      <c r="A54" s="18">
        <v>46052</v>
      </c>
      <c r="B54" s="19">
        <v>11</v>
      </c>
      <c r="C54" s="19">
        <v>0</v>
      </c>
      <c r="D54" s="19">
        <v>8</v>
      </c>
      <c r="E54" s="19">
        <v>19</v>
      </c>
    </row>
    <row r="55" spans="1:5" x14ac:dyDescent="0.25">
      <c r="A55" s="18">
        <v>46054</v>
      </c>
      <c r="B55" s="19">
        <v>2</v>
      </c>
      <c r="C55" s="19">
        <v>1</v>
      </c>
      <c r="D55" s="19">
        <v>1</v>
      </c>
      <c r="E55" s="19">
        <v>3</v>
      </c>
    </row>
    <row r="56" spans="1:5" x14ac:dyDescent="0.25">
      <c r="A56" s="18">
        <v>46055</v>
      </c>
      <c r="B56" s="19">
        <v>3</v>
      </c>
      <c r="C56" s="19">
        <v>0</v>
      </c>
      <c r="D56" s="19">
        <v>2</v>
      </c>
      <c r="E56" s="19">
        <v>5</v>
      </c>
    </row>
    <row r="57" spans="1:5" x14ac:dyDescent="0.25">
      <c r="A57" s="18">
        <v>46056</v>
      </c>
      <c r="B57" s="19">
        <v>6</v>
      </c>
      <c r="C57" s="19">
        <v>4</v>
      </c>
      <c r="D57" s="19">
        <v>1</v>
      </c>
      <c r="E57" s="19">
        <v>7</v>
      </c>
    </row>
    <row r="58" spans="1:5" x14ac:dyDescent="0.25">
      <c r="A58" s="18">
        <v>46057</v>
      </c>
      <c r="B58" s="19">
        <v>9</v>
      </c>
      <c r="C58" s="19">
        <v>1</v>
      </c>
      <c r="D58" s="19">
        <v>1</v>
      </c>
      <c r="E58" s="19">
        <v>10</v>
      </c>
    </row>
    <row r="59" spans="1:5" x14ac:dyDescent="0.25">
      <c r="A59" s="18">
        <v>46058</v>
      </c>
      <c r="B59" s="19">
        <v>7</v>
      </c>
      <c r="C59" s="19">
        <v>2</v>
      </c>
      <c r="D59" s="19">
        <v>1</v>
      </c>
      <c r="E59" s="19">
        <v>8</v>
      </c>
    </row>
    <row r="60" spans="1:5" x14ac:dyDescent="0.25">
      <c r="A60" s="18">
        <v>46059</v>
      </c>
      <c r="B60" s="19">
        <v>6</v>
      </c>
      <c r="C60" s="19">
        <v>1</v>
      </c>
      <c r="D60" s="19">
        <v>1</v>
      </c>
      <c r="E60" s="19">
        <v>7</v>
      </c>
    </row>
    <row r="61" spans="1:5" x14ac:dyDescent="0.25">
      <c r="A61" s="18">
        <v>46060</v>
      </c>
      <c r="B61" s="19">
        <v>2</v>
      </c>
      <c r="C61" s="19">
        <v>0</v>
      </c>
      <c r="D61" s="19">
        <v>0</v>
      </c>
      <c r="E61" s="19">
        <v>2</v>
      </c>
    </row>
    <row r="62" spans="1:5" x14ac:dyDescent="0.25">
      <c r="A62" s="18">
        <v>46061</v>
      </c>
      <c r="B62" s="19">
        <v>4</v>
      </c>
      <c r="C62" s="19">
        <v>0</v>
      </c>
      <c r="D62" s="19">
        <v>0</v>
      </c>
      <c r="E62" s="19">
        <v>4</v>
      </c>
    </row>
    <row r="63" spans="1:5" x14ac:dyDescent="0.25">
      <c r="A63" s="18">
        <v>46062</v>
      </c>
      <c r="B63" s="19">
        <v>10</v>
      </c>
      <c r="C63" s="19">
        <v>0</v>
      </c>
      <c r="D63" s="19">
        <v>2</v>
      </c>
      <c r="E63" s="19">
        <v>12</v>
      </c>
    </row>
    <row r="64" spans="1:5" x14ac:dyDescent="0.25">
      <c r="A64" s="18">
        <v>46063</v>
      </c>
      <c r="B64" s="19">
        <v>9</v>
      </c>
      <c r="C64" s="19">
        <v>0</v>
      </c>
      <c r="D64" s="19">
        <v>1</v>
      </c>
      <c r="E64" s="19">
        <v>10</v>
      </c>
    </row>
    <row r="65" spans="1:5" x14ac:dyDescent="0.25">
      <c r="A65" s="18">
        <v>46064</v>
      </c>
      <c r="B65" s="19">
        <v>3</v>
      </c>
      <c r="C65" s="19">
        <v>1</v>
      </c>
      <c r="D65" s="19">
        <v>1</v>
      </c>
      <c r="E65" s="19">
        <v>4</v>
      </c>
    </row>
    <row r="66" spans="1:5" x14ac:dyDescent="0.25">
      <c r="A66" s="18">
        <v>46065</v>
      </c>
      <c r="B66" s="19">
        <v>2</v>
      </c>
      <c r="C66" s="19">
        <v>0</v>
      </c>
      <c r="D66" s="19">
        <v>0</v>
      </c>
      <c r="E66" s="19">
        <v>2</v>
      </c>
    </row>
    <row r="67" spans="1:5" x14ac:dyDescent="0.25">
      <c r="A67" s="18">
        <v>46066</v>
      </c>
      <c r="B67" s="19">
        <v>10</v>
      </c>
      <c r="C67" s="19">
        <v>0</v>
      </c>
      <c r="D67" s="19">
        <v>1</v>
      </c>
      <c r="E67" s="19">
        <v>11</v>
      </c>
    </row>
    <row r="68" spans="1:5" x14ac:dyDescent="0.25">
      <c r="A68" s="18">
        <v>46067</v>
      </c>
      <c r="B68" s="19">
        <v>2</v>
      </c>
      <c r="C68" s="19">
        <v>0</v>
      </c>
      <c r="D68" s="19">
        <v>0</v>
      </c>
      <c r="E68" s="19">
        <v>2</v>
      </c>
    </row>
    <row r="69" spans="1:5" x14ac:dyDescent="0.25">
      <c r="A69" s="18">
        <v>46068</v>
      </c>
      <c r="B69" s="19">
        <v>3</v>
      </c>
      <c r="C69" s="19">
        <v>0</v>
      </c>
      <c r="D69" s="19">
        <v>0</v>
      </c>
      <c r="E69" s="19">
        <v>3</v>
      </c>
    </row>
    <row r="70" spans="1:5" x14ac:dyDescent="0.25">
      <c r="A70" s="18">
        <v>46069</v>
      </c>
      <c r="B70" s="19">
        <v>2</v>
      </c>
      <c r="C70" s="19">
        <v>1</v>
      </c>
      <c r="D70" s="19">
        <v>0</v>
      </c>
      <c r="E70" s="19">
        <v>2</v>
      </c>
    </row>
    <row r="71" spans="1:5" x14ac:dyDescent="0.25">
      <c r="A71" s="18">
        <v>46071</v>
      </c>
      <c r="B71" s="19">
        <v>1</v>
      </c>
      <c r="C71" s="19">
        <v>0</v>
      </c>
      <c r="D71" s="19">
        <v>0</v>
      </c>
      <c r="E71" s="19">
        <v>1</v>
      </c>
    </row>
    <row r="72" spans="1:5" x14ac:dyDescent="0.25">
      <c r="A72" s="18">
        <v>46072</v>
      </c>
      <c r="B72" s="19">
        <v>1</v>
      </c>
      <c r="C72" s="19">
        <v>0</v>
      </c>
      <c r="D72" s="19">
        <v>0</v>
      </c>
      <c r="E72" s="19">
        <v>1</v>
      </c>
    </row>
    <row r="73" spans="1:5" x14ac:dyDescent="0.25">
      <c r="A73" s="18">
        <v>46073</v>
      </c>
      <c r="B73" s="19">
        <v>3</v>
      </c>
      <c r="C73" s="19">
        <v>0</v>
      </c>
      <c r="D73" s="19">
        <v>1</v>
      </c>
      <c r="E73" s="19">
        <v>4</v>
      </c>
    </row>
    <row r="74" spans="1:5" x14ac:dyDescent="0.25">
      <c r="A74" s="18">
        <v>46074</v>
      </c>
      <c r="B74" s="19">
        <v>4</v>
      </c>
      <c r="C74" s="19">
        <v>0</v>
      </c>
      <c r="D74" s="19">
        <v>0</v>
      </c>
      <c r="E74" s="19">
        <v>4</v>
      </c>
    </row>
    <row r="75" spans="1:5" x14ac:dyDescent="0.25">
      <c r="A75" s="18">
        <v>46075</v>
      </c>
      <c r="B75" s="19">
        <v>3</v>
      </c>
      <c r="C75" s="19">
        <v>1</v>
      </c>
      <c r="D75" s="19">
        <v>0</v>
      </c>
      <c r="E75" s="19">
        <v>3</v>
      </c>
    </row>
    <row r="76" spans="1:5" x14ac:dyDescent="0.25">
      <c r="A76" s="18">
        <v>46076</v>
      </c>
      <c r="B76" s="19">
        <v>8</v>
      </c>
      <c r="C76" s="19">
        <v>2</v>
      </c>
      <c r="D76" s="19">
        <v>0</v>
      </c>
      <c r="E76" s="19">
        <v>8</v>
      </c>
    </row>
    <row r="77" spans="1:5" x14ac:dyDescent="0.25">
      <c r="A77" s="18">
        <v>46077</v>
      </c>
      <c r="B77" s="19">
        <v>12</v>
      </c>
      <c r="C77" s="19">
        <v>4</v>
      </c>
      <c r="D77" s="19">
        <v>2</v>
      </c>
      <c r="E77" s="19">
        <v>14</v>
      </c>
    </row>
    <row r="78" spans="1:5" x14ac:dyDescent="0.25">
      <c r="A78" s="18">
        <v>46078</v>
      </c>
      <c r="B78" s="19">
        <v>7</v>
      </c>
      <c r="C78" s="19">
        <v>1</v>
      </c>
      <c r="D78" s="19">
        <v>1</v>
      </c>
      <c r="E78" s="19">
        <v>8</v>
      </c>
    </row>
    <row r="79" spans="1:5" x14ac:dyDescent="0.25">
      <c r="A79" s="18">
        <v>46079</v>
      </c>
      <c r="B79" s="19">
        <v>3</v>
      </c>
      <c r="C79" s="19">
        <v>1</v>
      </c>
      <c r="D79" s="19">
        <v>1</v>
      </c>
      <c r="E79" s="19">
        <v>4</v>
      </c>
    </row>
    <row r="80" spans="1:5" x14ac:dyDescent="0.25">
      <c r="A80" s="18">
        <v>46080</v>
      </c>
      <c r="B80" s="19">
        <v>3</v>
      </c>
      <c r="C80" s="19">
        <v>0</v>
      </c>
      <c r="D80" s="19">
        <v>0</v>
      </c>
      <c r="E80" s="19">
        <v>3</v>
      </c>
    </row>
    <row r="81" spans="1:5" x14ac:dyDescent="0.25">
      <c r="A81" s="18">
        <v>46081</v>
      </c>
      <c r="B81" s="19">
        <v>6</v>
      </c>
      <c r="C81" s="19">
        <v>2</v>
      </c>
      <c r="D81" s="19">
        <v>0</v>
      </c>
      <c r="E81" s="19">
        <v>6</v>
      </c>
    </row>
    <row r="82" spans="1:5" x14ac:dyDescent="0.25">
      <c r="A82" s="18">
        <v>46082</v>
      </c>
      <c r="B82" s="19"/>
      <c r="C82" s="19"/>
      <c r="D82" s="19"/>
      <c r="E82" s="19">
        <v>1</v>
      </c>
    </row>
    <row r="83" spans="1:5" x14ac:dyDescent="0.25">
      <c r="A83" s="18">
        <v>46083</v>
      </c>
      <c r="B83" s="19">
        <v>9</v>
      </c>
      <c r="C83" s="19">
        <v>1</v>
      </c>
      <c r="D83" s="19">
        <v>2</v>
      </c>
      <c r="E83" s="19">
        <v>11</v>
      </c>
    </row>
    <row r="84" spans="1:5" x14ac:dyDescent="0.25">
      <c r="A84" s="18">
        <v>46084</v>
      </c>
      <c r="B84" s="19">
        <v>6</v>
      </c>
      <c r="C84" s="19">
        <v>0</v>
      </c>
      <c r="D84" s="19">
        <v>1</v>
      </c>
      <c r="E84" s="19">
        <v>7</v>
      </c>
    </row>
    <row r="85" spans="1:5" x14ac:dyDescent="0.25">
      <c r="A85" s="18">
        <v>46085</v>
      </c>
      <c r="B85" s="19">
        <v>4</v>
      </c>
      <c r="C85" s="19">
        <v>0</v>
      </c>
      <c r="D85" s="19">
        <v>0</v>
      </c>
      <c r="E85" s="19">
        <v>4</v>
      </c>
    </row>
    <row r="86" spans="1:5" x14ac:dyDescent="0.25">
      <c r="A86" s="18">
        <v>46086</v>
      </c>
      <c r="B86" s="19">
        <v>13</v>
      </c>
      <c r="C86" s="19">
        <v>2</v>
      </c>
      <c r="D86" s="19">
        <v>1</v>
      </c>
      <c r="E86" s="19">
        <v>14</v>
      </c>
    </row>
    <row r="87" spans="1:5" x14ac:dyDescent="0.25">
      <c r="A87" s="18">
        <v>46087</v>
      </c>
      <c r="B87" s="19">
        <v>10</v>
      </c>
      <c r="C87" s="19">
        <v>2</v>
      </c>
      <c r="D87" s="19">
        <v>0</v>
      </c>
      <c r="E87" s="19">
        <v>10</v>
      </c>
    </row>
    <row r="88" spans="1:5" x14ac:dyDescent="0.25">
      <c r="A88" s="18">
        <v>46088</v>
      </c>
      <c r="B88" s="19">
        <v>1</v>
      </c>
      <c r="C88" s="19">
        <v>0</v>
      </c>
      <c r="D88" s="19">
        <v>0</v>
      </c>
      <c r="E88" s="19">
        <v>1</v>
      </c>
    </row>
    <row r="89" spans="1:5" x14ac:dyDescent="0.25">
      <c r="A89" s="18">
        <v>46089</v>
      </c>
      <c r="B89" s="19">
        <v>2</v>
      </c>
      <c r="C89" s="19">
        <v>1</v>
      </c>
      <c r="D89" s="19">
        <v>0</v>
      </c>
      <c r="E89" s="19">
        <v>2</v>
      </c>
    </row>
    <row r="90" spans="1:5" x14ac:dyDescent="0.25">
      <c r="A90" s="18">
        <v>46090</v>
      </c>
      <c r="B90" s="19">
        <v>8</v>
      </c>
      <c r="C90" s="19">
        <v>0</v>
      </c>
      <c r="D90" s="19">
        <v>0</v>
      </c>
      <c r="E90" s="19">
        <v>8</v>
      </c>
    </row>
    <row r="91" spans="1:5" x14ac:dyDescent="0.25">
      <c r="A91" s="18">
        <v>46091</v>
      </c>
      <c r="B91" s="19">
        <v>8</v>
      </c>
      <c r="C91" s="19">
        <v>3</v>
      </c>
      <c r="D91" s="19">
        <v>1</v>
      </c>
      <c r="E91" s="19">
        <v>9</v>
      </c>
    </row>
    <row r="92" spans="1:5" x14ac:dyDescent="0.25">
      <c r="A92" s="18">
        <v>46092</v>
      </c>
      <c r="B92" s="19">
        <v>4</v>
      </c>
      <c r="C92" s="19">
        <v>0</v>
      </c>
      <c r="D92" s="19">
        <v>4</v>
      </c>
      <c r="E92" s="19">
        <v>8</v>
      </c>
    </row>
    <row r="93" spans="1:5" x14ac:dyDescent="0.25">
      <c r="A93" s="18">
        <v>46093</v>
      </c>
      <c r="B93" s="19">
        <v>2</v>
      </c>
      <c r="C93" s="19">
        <v>0</v>
      </c>
      <c r="D93" s="19">
        <v>0</v>
      </c>
      <c r="E93" s="19">
        <v>2</v>
      </c>
    </row>
    <row r="94" spans="1:5" x14ac:dyDescent="0.25">
      <c r="A94" s="18">
        <v>46094</v>
      </c>
      <c r="B94" s="19">
        <v>8</v>
      </c>
      <c r="C94" s="19">
        <v>1</v>
      </c>
      <c r="D94" s="19">
        <v>1</v>
      </c>
      <c r="E94" s="19">
        <v>9</v>
      </c>
    </row>
    <row r="95" spans="1:5" x14ac:dyDescent="0.25">
      <c r="A95" s="18">
        <v>46095</v>
      </c>
      <c r="B95" s="19">
        <v>1</v>
      </c>
      <c r="C95" s="19">
        <v>0</v>
      </c>
      <c r="D95" s="19">
        <v>0</v>
      </c>
      <c r="E95" s="19">
        <v>1</v>
      </c>
    </row>
    <row r="96" spans="1:5" x14ac:dyDescent="0.25">
      <c r="A96" s="18">
        <v>46096</v>
      </c>
      <c r="B96" s="19">
        <v>3</v>
      </c>
      <c r="C96" s="19">
        <v>1</v>
      </c>
      <c r="D96" s="19">
        <v>0</v>
      </c>
      <c r="E96" s="19">
        <v>3</v>
      </c>
    </row>
    <row r="97" spans="1:5" x14ac:dyDescent="0.25">
      <c r="A97" s="18">
        <v>46097</v>
      </c>
      <c r="B97" s="19">
        <v>11</v>
      </c>
      <c r="C97" s="19">
        <v>1</v>
      </c>
      <c r="D97" s="19">
        <v>1</v>
      </c>
      <c r="E97" s="19">
        <v>12</v>
      </c>
    </row>
    <row r="98" spans="1:5" x14ac:dyDescent="0.25">
      <c r="A98" s="18">
        <v>46098</v>
      </c>
      <c r="B98" s="19">
        <v>7</v>
      </c>
      <c r="C98" s="19">
        <v>4</v>
      </c>
      <c r="D98" s="19">
        <v>3</v>
      </c>
      <c r="E98" s="19">
        <v>10</v>
      </c>
    </row>
    <row r="99" spans="1:5" x14ac:dyDescent="0.25">
      <c r="A99" s="18">
        <v>46099</v>
      </c>
      <c r="B99" s="19">
        <v>8</v>
      </c>
      <c r="C99" s="19">
        <v>0</v>
      </c>
      <c r="D99" s="19">
        <v>0</v>
      </c>
      <c r="E99" s="19">
        <v>8</v>
      </c>
    </row>
    <row r="100" spans="1:5" x14ac:dyDescent="0.25">
      <c r="A100" s="18">
        <v>46100</v>
      </c>
      <c r="B100" s="19">
        <v>6</v>
      </c>
      <c r="C100" s="19">
        <v>0</v>
      </c>
      <c r="D100" s="19">
        <v>1</v>
      </c>
      <c r="E100" s="19">
        <v>7</v>
      </c>
    </row>
    <row r="101" spans="1:5" x14ac:dyDescent="0.25">
      <c r="A101" s="18">
        <v>46101</v>
      </c>
      <c r="B101" s="19">
        <v>4</v>
      </c>
      <c r="C101" s="19">
        <v>1</v>
      </c>
      <c r="D101" s="19">
        <v>3</v>
      </c>
      <c r="E101" s="19">
        <v>7</v>
      </c>
    </row>
    <row r="102" spans="1:5" x14ac:dyDescent="0.25">
      <c r="A102" s="18">
        <v>46102</v>
      </c>
      <c r="B102" s="19">
        <v>5</v>
      </c>
      <c r="C102" s="19">
        <v>1</v>
      </c>
      <c r="D102" s="19">
        <v>0</v>
      </c>
      <c r="E102" s="19">
        <v>5</v>
      </c>
    </row>
    <row r="103" spans="1:5" x14ac:dyDescent="0.25">
      <c r="A103" s="18">
        <v>46103</v>
      </c>
      <c r="B103" s="19">
        <v>3</v>
      </c>
      <c r="C103" s="19">
        <v>0</v>
      </c>
      <c r="D103" s="19">
        <v>0</v>
      </c>
      <c r="E103" s="19">
        <v>3</v>
      </c>
    </row>
    <row r="104" spans="1:5" x14ac:dyDescent="0.25">
      <c r="A104" s="18">
        <v>46104</v>
      </c>
      <c r="B104" s="19">
        <v>6</v>
      </c>
      <c r="C104" s="19">
        <v>1</v>
      </c>
      <c r="D104" s="19">
        <v>2</v>
      </c>
      <c r="E104" s="19">
        <v>8</v>
      </c>
    </row>
    <row r="105" spans="1:5" x14ac:dyDescent="0.25">
      <c r="A105" s="18">
        <v>46105</v>
      </c>
      <c r="B105" s="19">
        <v>5</v>
      </c>
      <c r="C105" s="19">
        <v>1</v>
      </c>
      <c r="D105" s="19">
        <v>1</v>
      </c>
      <c r="E105" s="19">
        <v>6</v>
      </c>
    </row>
    <row r="106" spans="1:5" x14ac:dyDescent="0.25">
      <c r="A106" s="18">
        <v>46106</v>
      </c>
      <c r="B106" s="19">
        <v>5</v>
      </c>
      <c r="C106" s="19">
        <v>0</v>
      </c>
      <c r="D106" s="19">
        <v>0</v>
      </c>
      <c r="E106" s="19">
        <v>5</v>
      </c>
    </row>
    <row r="107" spans="1:5" x14ac:dyDescent="0.25">
      <c r="A107" s="18">
        <v>46107</v>
      </c>
      <c r="B107" s="19">
        <v>6</v>
      </c>
      <c r="C107" s="19">
        <v>1</v>
      </c>
      <c r="D107" s="19">
        <v>1</v>
      </c>
      <c r="E107" s="19">
        <v>7</v>
      </c>
    </row>
    <row r="108" spans="1:5" x14ac:dyDescent="0.25">
      <c r="A108" s="18">
        <v>46108</v>
      </c>
      <c r="B108" s="19">
        <v>5</v>
      </c>
      <c r="C108" s="19">
        <v>2</v>
      </c>
      <c r="D108" s="19">
        <v>2</v>
      </c>
      <c r="E108" s="19">
        <v>7</v>
      </c>
    </row>
    <row r="109" spans="1:5" x14ac:dyDescent="0.25">
      <c r="A109" s="18">
        <v>46110</v>
      </c>
      <c r="B109" s="19">
        <v>3</v>
      </c>
      <c r="C109" s="19">
        <v>0</v>
      </c>
      <c r="D109" s="19">
        <v>0</v>
      </c>
      <c r="E109" s="19">
        <v>3</v>
      </c>
    </row>
    <row r="110" spans="1:5" x14ac:dyDescent="0.25">
      <c r="A110" s="18">
        <v>46111</v>
      </c>
      <c r="B110" s="19">
        <v>6</v>
      </c>
      <c r="C110" s="19">
        <v>0</v>
      </c>
      <c r="D110" s="19">
        <v>0</v>
      </c>
      <c r="E110" s="19">
        <v>6</v>
      </c>
    </row>
    <row r="111" spans="1:5" x14ac:dyDescent="0.25">
      <c r="A111" s="18">
        <v>46112</v>
      </c>
      <c r="B111" s="19">
        <v>4</v>
      </c>
      <c r="C111" s="19">
        <v>0</v>
      </c>
      <c r="D111" s="19">
        <v>1</v>
      </c>
      <c r="E111" s="19">
        <v>5</v>
      </c>
    </row>
    <row r="112" spans="1:5" x14ac:dyDescent="0.25">
      <c r="A112" s="18">
        <v>46113</v>
      </c>
      <c r="B112" s="19">
        <v>3</v>
      </c>
      <c r="C112" s="19">
        <v>1</v>
      </c>
      <c r="D112" s="19">
        <v>1</v>
      </c>
      <c r="E112" s="19">
        <v>4</v>
      </c>
    </row>
    <row r="113" spans="1:7" x14ac:dyDescent="0.25">
      <c r="A113" s="2" t="s">
        <v>987</v>
      </c>
      <c r="B113" s="2">
        <f>SUM(加入人數[由HR公告加入])</f>
        <v>1677</v>
      </c>
      <c r="C113" s="2">
        <f>SUM(加入人數[由服務小卡加入])</f>
        <v>145</v>
      </c>
      <c r="D113" s="2">
        <f>SUM(加入人數[由好友推薦加入])</f>
        <v>584</v>
      </c>
      <c r="E113" s="2">
        <f>SUM(加入人數[總加入人數])</f>
        <v>2262</v>
      </c>
    </row>
    <row r="114" spans="1:7" ht="16.5" x14ac:dyDescent="0.25">
      <c r="F114"/>
      <c r="G114" s="6"/>
    </row>
    <row r="115" spans="1:7" ht="16.5" x14ac:dyDescent="0.25">
      <c r="F115"/>
      <c r="G115" s="6"/>
    </row>
    <row r="116" spans="1:7" ht="16.5" x14ac:dyDescent="0.25">
      <c r="F116"/>
      <c r="G116" s="6"/>
    </row>
    <row r="117" spans="1:7" ht="16.5" x14ac:dyDescent="0.25">
      <c r="F117"/>
      <c r="G117" s="6"/>
    </row>
    <row r="118" spans="1:7" ht="16.5" x14ac:dyDescent="0.25">
      <c r="F118"/>
      <c r="G118" s="6"/>
    </row>
    <row r="119" spans="1:7" ht="16.5" x14ac:dyDescent="0.25">
      <c r="A119" s="12" t="s">
        <v>989</v>
      </c>
      <c r="B119" s="12"/>
      <c r="C119" s="12"/>
      <c r="D119" s="12"/>
      <c r="F119"/>
      <c r="G119" s="6"/>
    </row>
    <row r="120" spans="1:7" ht="16.5" x14ac:dyDescent="0.25">
      <c r="A120" s="9"/>
      <c r="B120" s="9"/>
      <c r="C120" s="9"/>
      <c r="D120" s="3" t="s">
        <v>1247</v>
      </c>
      <c r="E120" s="9"/>
      <c r="F120"/>
      <c r="G120" s="6"/>
    </row>
    <row r="121" spans="1:7" s="21" customFormat="1" ht="16.5" x14ac:dyDescent="0.25">
      <c r="A121" s="3" t="s">
        <v>126</v>
      </c>
      <c r="B121" s="4" t="s">
        <v>1244</v>
      </c>
      <c r="C121" s="4" t="s">
        <v>1245</v>
      </c>
      <c r="D121" s="7" t="s">
        <v>983</v>
      </c>
      <c r="E121" s="8" t="s">
        <v>991</v>
      </c>
      <c r="F121" s="5" t="s">
        <v>1246</v>
      </c>
      <c r="G121" s="20"/>
    </row>
    <row r="122" spans="1:7" ht="16.5" x14ac:dyDescent="0.25">
      <c r="A122" s="10" t="s">
        <v>212</v>
      </c>
      <c r="B122" s="13" t="s">
        <v>273</v>
      </c>
      <c r="C122" s="7" t="s">
        <v>1234</v>
      </c>
      <c r="D122" s="15">
        <v>6</v>
      </c>
      <c r="E122" s="16">
        <v>5</v>
      </c>
      <c r="F122" s="17">
        <f>E122/D122</f>
        <v>0.83333333333333337</v>
      </c>
      <c r="G122" s="6"/>
    </row>
    <row r="123" spans="1:7" ht="16.5" x14ac:dyDescent="0.25">
      <c r="A123" s="11"/>
      <c r="B123" s="14" t="s">
        <v>273</v>
      </c>
      <c r="C123" s="7" t="s">
        <v>1235</v>
      </c>
      <c r="D123" s="15">
        <v>5</v>
      </c>
      <c r="E123" s="16">
        <v>5</v>
      </c>
      <c r="F123" s="17">
        <f t="shared" ref="F123:F151" si="0">E123/D123</f>
        <v>1</v>
      </c>
    </row>
    <row r="124" spans="1:7" ht="16.5" x14ac:dyDescent="0.25">
      <c r="A124" s="11"/>
      <c r="B124" s="7" t="s">
        <v>216</v>
      </c>
      <c r="C124" s="7" t="s">
        <v>1233</v>
      </c>
      <c r="D124" s="15">
        <v>10</v>
      </c>
      <c r="E124" s="16">
        <v>8</v>
      </c>
      <c r="F124" s="17">
        <f t="shared" si="0"/>
        <v>0.8</v>
      </c>
    </row>
    <row r="125" spans="1:7" ht="16.5" x14ac:dyDescent="0.25">
      <c r="A125" s="11"/>
      <c r="B125" s="7" t="s">
        <v>377</v>
      </c>
      <c r="C125" s="7" t="s">
        <v>1219</v>
      </c>
      <c r="D125" s="15">
        <v>6</v>
      </c>
      <c r="E125" s="16">
        <v>3</v>
      </c>
      <c r="F125" s="17">
        <f t="shared" si="0"/>
        <v>0.5</v>
      </c>
    </row>
    <row r="126" spans="1:7" ht="16.5" x14ac:dyDescent="0.25">
      <c r="A126" s="11"/>
      <c r="B126" s="7" t="s">
        <v>477</v>
      </c>
      <c r="C126" s="7" t="s">
        <v>1222</v>
      </c>
      <c r="D126" s="15">
        <v>4</v>
      </c>
      <c r="E126" s="16">
        <v>2</v>
      </c>
      <c r="F126" s="17">
        <f t="shared" si="0"/>
        <v>0.5</v>
      </c>
    </row>
    <row r="127" spans="1:7" ht="16.5" x14ac:dyDescent="0.25">
      <c r="A127" s="11"/>
      <c r="B127" s="7" t="s">
        <v>387</v>
      </c>
      <c r="C127" s="7" t="s">
        <v>1221</v>
      </c>
      <c r="D127" s="15">
        <v>4</v>
      </c>
      <c r="E127" s="16">
        <v>4</v>
      </c>
      <c r="F127" s="17">
        <f t="shared" si="0"/>
        <v>1</v>
      </c>
    </row>
    <row r="128" spans="1:7" ht="16.5" x14ac:dyDescent="0.25">
      <c r="A128" s="11"/>
      <c r="B128" s="7" t="s">
        <v>1080</v>
      </c>
      <c r="C128" s="7" t="s">
        <v>1220</v>
      </c>
      <c r="D128" s="15">
        <v>2</v>
      </c>
      <c r="E128" s="16">
        <v>1</v>
      </c>
      <c r="F128" s="17">
        <f t="shared" si="0"/>
        <v>0.5</v>
      </c>
    </row>
    <row r="129" spans="1:6" ht="16.5" x14ac:dyDescent="0.25">
      <c r="A129" s="10" t="s">
        <v>178</v>
      </c>
      <c r="B129" s="7" t="s">
        <v>189</v>
      </c>
      <c r="C129" s="7" t="s">
        <v>1230</v>
      </c>
      <c r="D129" s="15">
        <v>10</v>
      </c>
      <c r="E129" s="16">
        <v>9</v>
      </c>
      <c r="F129" s="17">
        <f t="shared" si="0"/>
        <v>0.9</v>
      </c>
    </row>
    <row r="130" spans="1:6" ht="16.5" x14ac:dyDescent="0.25">
      <c r="A130" s="11"/>
      <c r="B130" s="7" t="s">
        <v>205</v>
      </c>
      <c r="C130" s="7" t="s">
        <v>1236</v>
      </c>
      <c r="D130" s="15">
        <v>8</v>
      </c>
      <c r="E130" s="16">
        <v>5</v>
      </c>
      <c r="F130" s="17">
        <f t="shared" si="0"/>
        <v>0.625</v>
      </c>
    </row>
    <row r="131" spans="1:6" ht="16.5" x14ac:dyDescent="0.25">
      <c r="A131" s="11"/>
      <c r="B131" s="7" t="s">
        <v>318</v>
      </c>
      <c r="C131" s="7" t="s">
        <v>1223</v>
      </c>
      <c r="D131" s="15">
        <v>7</v>
      </c>
      <c r="E131" s="16">
        <v>4</v>
      </c>
      <c r="F131" s="17">
        <f t="shared" si="0"/>
        <v>0.5714285714285714</v>
      </c>
    </row>
    <row r="132" spans="1:6" ht="16.5" x14ac:dyDescent="0.25">
      <c r="A132" s="11"/>
      <c r="B132" s="13" t="s">
        <v>331</v>
      </c>
      <c r="C132" s="7" t="s">
        <v>1232</v>
      </c>
      <c r="D132" s="15">
        <v>3</v>
      </c>
      <c r="E132" s="16">
        <v>3</v>
      </c>
      <c r="F132" s="17">
        <f t="shared" si="0"/>
        <v>1</v>
      </c>
    </row>
    <row r="133" spans="1:6" ht="16.5" x14ac:dyDescent="0.25">
      <c r="A133" s="11"/>
      <c r="B133" s="14" t="s">
        <v>331</v>
      </c>
      <c r="C133" s="7" t="s">
        <v>1231</v>
      </c>
      <c r="D133" s="15">
        <v>3</v>
      </c>
      <c r="E133" s="16">
        <v>1</v>
      </c>
      <c r="F133" s="17">
        <f t="shared" si="0"/>
        <v>0.33333333333333331</v>
      </c>
    </row>
    <row r="134" spans="1:6" ht="16.5" x14ac:dyDescent="0.25">
      <c r="A134" s="11"/>
      <c r="B134" s="7" t="s">
        <v>182</v>
      </c>
      <c r="C134" s="7" t="s">
        <v>1237</v>
      </c>
      <c r="D134" s="15">
        <v>5</v>
      </c>
      <c r="E134" s="16">
        <v>5</v>
      </c>
      <c r="F134" s="17">
        <f t="shared" si="0"/>
        <v>1</v>
      </c>
    </row>
    <row r="135" spans="1:6" ht="16.5" x14ac:dyDescent="0.25">
      <c r="A135" s="11"/>
      <c r="B135" s="7" t="s">
        <v>289</v>
      </c>
      <c r="C135" s="7" t="s">
        <v>1228</v>
      </c>
      <c r="D135" s="15">
        <v>3</v>
      </c>
      <c r="E135" s="16">
        <v>3</v>
      </c>
      <c r="F135" s="17">
        <f t="shared" si="0"/>
        <v>1</v>
      </c>
    </row>
    <row r="136" spans="1:6" ht="16.5" x14ac:dyDescent="0.25">
      <c r="A136" s="11"/>
      <c r="B136" s="7" t="s">
        <v>371</v>
      </c>
      <c r="C136" s="7" t="s">
        <v>1228</v>
      </c>
      <c r="D136" s="15">
        <v>2</v>
      </c>
      <c r="E136" s="16">
        <v>1</v>
      </c>
      <c r="F136" s="17">
        <f t="shared" si="0"/>
        <v>0.5</v>
      </c>
    </row>
    <row r="137" spans="1:6" ht="16.5" x14ac:dyDescent="0.25">
      <c r="A137" s="11"/>
      <c r="B137" s="7" t="s">
        <v>431</v>
      </c>
      <c r="C137" s="7" t="s">
        <v>1229</v>
      </c>
      <c r="D137" s="15">
        <v>2</v>
      </c>
      <c r="E137" s="16">
        <v>0</v>
      </c>
      <c r="F137" s="17">
        <f t="shared" si="0"/>
        <v>0</v>
      </c>
    </row>
    <row r="138" spans="1:6" ht="16.5" x14ac:dyDescent="0.25">
      <c r="A138" s="10" t="s">
        <v>149</v>
      </c>
      <c r="B138" s="7" t="s">
        <v>153</v>
      </c>
      <c r="C138" s="7" t="s">
        <v>1240</v>
      </c>
      <c r="D138" s="15">
        <v>22</v>
      </c>
      <c r="E138" s="16">
        <v>17</v>
      </c>
      <c r="F138" s="17">
        <f t="shared" si="0"/>
        <v>0.77272727272727271</v>
      </c>
    </row>
    <row r="139" spans="1:6" ht="16.5" x14ac:dyDescent="0.25">
      <c r="A139" s="11"/>
      <c r="B139" s="7" t="s">
        <v>160</v>
      </c>
      <c r="C139" s="7" t="s">
        <v>1227</v>
      </c>
      <c r="D139" s="15">
        <v>22</v>
      </c>
      <c r="E139" s="16">
        <v>14</v>
      </c>
      <c r="F139" s="17">
        <f t="shared" si="0"/>
        <v>0.63636363636363635</v>
      </c>
    </row>
    <row r="140" spans="1:6" ht="16.5" x14ac:dyDescent="0.25">
      <c r="A140" s="11"/>
      <c r="B140" s="7" t="s">
        <v>266</v>
      </c>
      <c r="C140" s="7" t="s">
        <v>1224</v>
      </c>
      <c r="D140" s="15">
        <v>16</v>
      </c>
      <c r="E140" s="16">
        <v>10</v>
      </c>
      <c r="F140" s="17">
        <f t="shared" si="0"/>
        <v>0.625</v>
      </c>
    </row>
    <row r="141" spans="1:6" ht="16.5" x14ac:dyDescent="0.25">
      <c r="A141" s="11"/>
      <c r="B141" s="7" t="s">
        <v>249</v>
      </c>
      <c r="C141" s="7" t="s">
        <v>1239</v>
      </c>
      <c r="D141" s="15">
        <v>12</v>
      </c>
      <c r="E141" s="16">
        <v>9</v>
      </c>
      <c r="F141" s="17">
        <f t="shared" si="0"/>
        <v>0.75</v>
      </c>
    </row>
    <row r="142" spans="1:6" ht="16.5" x14ac:dyDescent="0.25">
      <c r="A142" s="11"/>
      <c r="B142" s="7" t="s">
        <v>194</v>
      </c>
      <c r="C142" s="7" t="s">
        <v>1225</v>
      </c>
      <c r="D142" s="15">
        <v>10</v>
      </c>
      <c r="E142" s="16">
        <v>5</v>
      </c>
      <c r="F142" s="17">
        <f t="shared" si="0"/>
        <v>0.5</v>
      </c>
    </row>
    <row r="143" spans="1:6" ht="16.5" x14ac:dyDescent="0.25">
      <c r="A143" s="11"/>
      <c r="B143" s="7" t="s">
        <v>418</v>
      </c>
      <c r="C143" s="7" t="s">
        <v>1226</v>
      </c>
      <c r="D143" s="15">
        <v>10</v>
      </c>
      <c r="E143" s="16">
        <v>9</v>
      </c>
      <c r="F143" s="17">
        <f t="shared" si="0"/>
        <v>0.9</v>
      </c>
    </row>
    <row r="144" spans="1:6" ht="33" x14ac:dyDescent="0.25">
      <c r="A144" s="11"/>
      <c r="B144" s="7" t="s">
        <v>409</v>
      </c>
      <c r="C144" s="7" t="s">
        <v>1218</v>
      </c>
      <c r="D144" s="15">
        <v>8</v>
      </c>
      <c r="E144" s="16">
        <v>8</v>
      </c>
      <c r="F144" s="17">
        <f t="shared" si="0"/>
        <v>1</v>
      </c>
    </row>
    <row r="145" spans="1:6" ht="16.5" x14ac:dyDescent="0.25">
      <c r="A145" s="11"/>
      <c r="B145" s="7" t="s">
        <v>254</v>
      </c>
      <c r="C145" s="7" t="s">
        <v>1225</v>
      </c>
      <c r="D145" s="15">
        <v>6</v>
      </c>
      <c r="E145" s="16">
        <v>5</v>
      </c>
      <c r="F145" s="17">
        <f t="shared" si="0"/>
        <v>0.83333333333333337</v>
      </c>
    </row>
    <row r="146" spans="1:6" ht="16.5" x14ac:dyDescent="0.25">
      <c r="A146" s="11"/>
      <c r="B146" s="7" t="s">
        <v>498</v>
      </c>
      <c r="C146" s="7" t="s">
        <v>1224</v>
      </c>
      <c r="D146" s="15">
        <v>5</v>
      </c>
      <c r="E146" s="16">
        <v>4</v>
      </c>
      <c r="F146" s="17">
        <f t="shared" si="0"/>
        <v>0.8</v>
      </c>
    </row>
    <row r="147" spans="1:6" ht="16.5" x14ac:dyDescent="0.25">
      <c r="A147" s="11"/>
      <c r="B147" s="7" t="s">
        <v>173</v>
      </c>
      <c r="C147" s="7" t="s">
        <v>1242</v>
      </c>
      <c r="D147" s="15">
        <v>5</v>
      </c>
      <c r="E147" s="16">
        <v>4</v>
      </c>
      <c r="F147" s="17">
        <f t="shared" si="0"/>
        <v>0.8</v>
      </c>
    </row>
    <row r="148" spans="1:6" ht="16.5" x14ac:dyDescent="0.25">
      <c r="A148" s="11"/>
      <c r="B148" s="7" t="s">
        <v>610</v>
      </c>
      <c r="C148" s="7" t="s">
        <v>1243</v>
      </c>
      <c r="D148" s="15">
        <v>4</v>
      </c>
      <c r="E148" s="16">
        <v>2</v>
      </c>
      <c r="F148" s="17">
        <f t="shared" si="0"/>
        <v>0.5</v>
      </c>
    </row>
    <row r="149" spans="1:6" ht="16.5" x14ac:dyDescent="0.25">
      <c r="A149" s="10" t="s">
        <v>141</v>
      </c>
      <c r="B149" s="7" t="s">
        <v>145</v>
      </c>
      <c r="C149" s="7" t="s">
        <v>1241</v>
      </c>
      <c r="D149" s="15">
        <v>8</v>
      </c>
      <c r="E149" s="16">
        <v>7</v>
      </c>
      <c r="F149" s="17">
        <f t="shared" si="0"/>
        <v>0.875</v>
      </c>
    </row>
    <row r="150" spans="1:6" ht="16.5" x14ac:dyDescent="0.25">
      <c r="A150" s="11"/>
      <c r="B150" s="7" t="s">
        <v>260</v>
      </c>
      <c r="C150" s="7" t="s">
        <v>1238</v>
      </c>
      <c r="D150" s="15">
        <v>2</v>
      </c>
      <c r="E150" s="16">
        <v>2</v>
      </c>
      <c r="F150" s="17">
        <f t="shared" si="0"/>
        <v>1</v>
      </c>
    </row>
    <row r="151" spans="1:6" ht="16.5" x14ac:dyDescent="0.25">
      <c r="A151" s="10" t="s">
        <v>990</v>
      </c>
      <c r="B151" s="11"/>
      <c r="C151" s="11"/>
      <c r="D151" s="16">
        <v>208</v>
      </c>
      <c r="E151" s="16">
        <v>155</v>
      </c>
      <c r="F151" s="17">
        <f t="shared" si="0"/>
        <v>0.74519230769230771</v>
      </c>
    </row>
    <row r="152" spans="1:6" ht="16.5" x14ac:dyDescent="0.25">
      <c r="A152"/>
      <c r="B152"/>
      <c r="C152"/>
      <c r="D152"/>
      <c r="E152"/>
    </row>
    <row r="153" spans="1:6" ht="16.5" x14ac:dyDescent="0.25">
      <c r="A153"/>
      <c r="B153"/>
      <c r="C153"/>
      <c r="D153"/>
      <c r="E153"/>
    </row>
    <row r="154" spans="1:6" ht="16.5" x14ac:dyDescent="0.25">
      <c r="A154"/>
      <c r="B154"/>
      <c r="C154"/>
      <c r="D154"/>
      <c r="E154"/>
    </row>
    <row r="155" spans="1:6" ht="16.5" x14ac:dyDescent="0.25">
      <c r="A155"/>
      <c r="B155"/>
      <c r="C155"/>
      <c r="D155"/>
      <c r="E155"/>
    </row>
  </sheetData>
  <mergeCells count="9">
    <mergeCell ref="A122:A128"/>
    <mergeCell ref="A129:A137"/>
    <mergeCell ref="A138:A148"/>
    <mergeCell ref="A149:A150"/>
    <mergeCell ref="A151:C151"/>
    <mergeCell ref="B122:B123"/>
    <mergeCell ref="B132:B133"/>
    <mergeCell ref="A119:D119"/>
    <mergeCell ref="A1:C1"/>
  </mergeCells>
  <phoneticPr fontId="1" type="noConversion"/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5"/>
  <sheetViews>
    <sheetView topLeftCell="H1" workbookViewId="0">
      <selection sqref="A1:S215"/>
    </sheetView>
  </sheetViews>
  <sheetFormatPr defaultRowHeight="16.5" x14ac:dyDescent="0.25"/>
  <cols>
    <col min="1" max="1" width="10.125" style="1" bestFit="1" customWidth="1"/>
    <col min="2" max="2" width="13.875" style="1" bestFit="1" customWidth="1"/>
    <col min="3" max="3" width="16.5" style="1" bestFit="1" customWidth="1"/>
    <col min="4" max="4" width="17.625" style="1" bestFit="1" customWidth="1"/>
    <col min="5" max="5" width="10.625" style="1" bestFit="1" customWidth="1"/>
    <col min="6" max="6" width="19.75" style="1" bestFit="1" customWidth="1"/>
    <col min="7" max="7" width="40.25" style="1" bestFit="1" customWidth="1"/>
    <col min="8" max="8" width="13" style="1" bestFit="1" customWidth="1"/>
    <col min="9" max="9" width="37.125" style="1" bestFit="1" customWidth="1"/>
    <col min="10" max="10" width="44.375" style="1" bestFit="1" customWidth="1"/>
    <col min="11" max="12" width="23" style="1" bestFit="1" customWidth="1"/>
    <col min="13" max="13" width="9.5" bestFit="1" customWidth="1"/>
    <col min="14" max="15" width="11.625" bestFit="1" customWidth="1"/>
    <col min="16" max="17" width="7.5" bestFit="1" customWidth="1"/>
    <col min="18" max="16384" width="9" style="1"/>
  </cols>
  <sheetData>
    <row r="1" spans="1:19" x14ac:dyDescent="0.2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t="s">
        <v>138</v>
      </c>
      <c r="N1" t="s">
        <v>991</v>
      </c>
      <c r="O1" t="s">
        <v>992</v>
      </c>
      <c r="P1" t="s">
        <v>993</v>
      </c>
      <c r="Q1" t="s">
        <v>994</v>
      </c>
      <c r="R1" s="1" t="s">
        <v>139</v>
      </c>
      <c r="S1" s="1" t="s">
        <v>140</v>
      </c>
    </row>
    <row r="2" spans="1:19" x14ac:dyDescent="0.25">
      <c r="A2" s="1" t="s">
        <v>149</v>
      </c>
      <c r="B2" s="1" t="s">
        <v>150</v>
      </c>
      <c r="C2" s="1" t="s">
        <v>158</v>
      </c>
      <c r="D2" s="1" t="s">
        <v>667</v>
      </c>
      <c r="E2" s="1" t="s">
        <v>159</v>
      </c>
      <c r="F2" s="1" t="s">
        <v>160</v>
      </c>
      <c r="G2" s="1" t="s">
        <v>1248</v>
      </c>
      <c r="H2" s="1" t="s">
        <v>1249</v>
      </c>
      <c r="I2" s="1" t="s">
        <v>1250</v>
      </c>
      <c r="J2" s="1" t="s">
        <v>1251</v>
      </c>
      <c r="K2" s="1" t="s">
        <v>1252</v>
      </c>
      <c r="L2" s="1" t="s">
        <v>1253</v>
      </c>
      <c r="M2">
        <v>0</v>
      </c>
      <c r="N2">
        <v>1</v>
      </c>
      <c r="O2">
        <v>1</v>
      </c>
      <c r="P2">
        <v>1</v>
      </c>
      <c r="Q2">
        <v>1</v>
      </c>
      <c r="R2" s="1" t="s">
        <v>1248</v>
      </c>
      <c r="S2" s="1" t="s">
        <v>140</v>
      </c>
    </row>
    <row r="3" spans="1:19" x14ac:dyDescent="0.25">
      <c r="A3" s="1" t="s">
        <v>212</v>
      </c>
      <c r="B3" s="1" t="s">
        <v>474</v>
      </c>
      <c r="C3" s="1" t="s">
        <v>475</v>
      </c>
      <c r="D3" s="1" t="s">
        <v>853</v>
      </c>
      <c r="E3" s="1" t="s">
        <v>476</v>
      </c>
      <c r="F3" s="1" t="s">
        <v>477</v>
      </c>
      <c r="G3" s="1" t="s">
        <v>1254</v>
      </c>
      <c r="H3" s="1" t="s">
        <v>1255</v>
      </c>
      <c r="I3" s="1" t="s">
        <v>1256</v>
      </c>
      <c r="J3" s="1" t="s">
        <v>1257</v>
      </c>
      <c r="K3" s="1" t="s">
        <v>1258</v>
      </c>
      <c r="L3" s="1" t="s">
        <v>1259</v>
      </c>
      <c r="M3">
        <v>0</v>
      </c>
      <c r="N3">
        <v>1</v>
      </c>
      <c r="O3">
        <v>1</v>
      </c>
      <c r="P3">
        <v>1</v>
      </c>
      <c r="Q3">
        <v>1</v>
      </c>
      <c r="R3" s="1" t="s">
        <v>1254</v>
      </c>
      <c r="S3" s="1" t="s">
        <v>140</v>
      </c>
    </row>
    <row r="4" spans="1:19" x14ac:dyDescent="0.25">
      <c r="A4" s="1" t="s">
        <v>149</v>
      </c>
      <c r="B4" s="1" t="s">
        <v>170</v>
      </c>
      <c r="C4" s="1" t="s">
        <v>247</v>
      </c>
      <c r="D4" s="1" t="s">
        <v>857</v>
      </c>
      <c r="E4" s="1" t="s">
        <v>484</v>
      </c>
      <c r="F4" s="1" t="s">
        <v>249</v>
      </c>
      <c r="G4" s="1" t="s">
        <v>1260</v>
      </c>
      <c r="H4" s="1" t="s">
        <v>321</v>
      </c>
      <c r="I4" s="1" t="s">
        <v>1261</v>
      </c>
      <c r="J4" s="1" t="s">
        <v>1262</v>
      </c>
      <c r="K4" s="1" t="s">
        <v>1263</v>
      </c>
      <c r="L4" s="1" t="s">
        <v>1264</v>
      </c>
      <c r="M4">
        <v>0</v>
      </c>
      <c r="N4">
        <v>1</v>
      </c>
      <c r="O4">
        <v>1</v>
      </c>
      <c r="P4">
        <v>1</v>
      </c>
      <c r="Q4">
        <v>1</v>
      </c>
      <c r="R4" s="1" t="s">
        <v>1260</v>
      </c>
      <c r="S4" s="1" t="s">
        <v>140</v>
      </c>
    </row>
    <row r="5" spans="1:19" x14ac:dyDescent="0.25">
      <c r="A5" s="1" t="s">
        <v>212</v>
      </c>
      <c r="B5" s="1" t="s">
        <v>474</v>
      </c>
      <c r="C5" s="1" t="s">
        <v>475</v>
      </c>
      <c r="D5" s="1" t="s">
        <v>962</v>
      </c>
      <c r="E5" s="1" t="s">
        <v>640</v>
      </c>
      <c r="F5" s="1" t="s">
        <v>477</v>
      </c>
      <c r="G5" s="1" t="s">
        <v>1265</v>
      </c>
      <c r="H5" s="1" t="s">
        <v>1266</v>
      </c>
      <c r="I5" s="1" t="s">
        <v>1267</v>
      </c>
      <c r="J5" s="1" t="s">
        <v>1268</v>
      </c>
      <c r="K5" s="1" t="s">
        <v>1269</v>
      </c>
      <c r="L5" s="1" t="s">
        <v>198</v>
      </c>
      <c r="M5" t="s">
        <v>198</v>
      </c>
      <c r="N5">
        <v>0</v>
      </c>
      <c r="O5">
        <v>0</v>
      </c>
      <c r="P5">
        <v>1</v>
      </c>
      <c r="Q5">
        <v>0</v>
      </c>
      <c r="R5" s="1" t="s">
        <v>198</v>
      </c>
      <c r="S5" s="1" t="s">
        <v>140</v>
      </c>
    </row>
    <row r="6" spans="1:19" x14ac:dyDescent="0.25">
      <c r="A6" s="1" t="s">
        <v>178</v>
      </c>
      <c r="B6" s="1" t="s">
        <v>179</v>
      </c>
      <c r="C6" s="1" t="s">
        <v>187</v>
      </c>
      <c r="D6" s="1" t="s">
        <v>730</v>
      </c>
      <c r="E6" s="1" t="s">
        <v>283</v>
      </c>
      <c r="F6" s="1" t="s">
        <v>189</v>
      </c>
      <c r="G6" s="1" t="s">
        <v>1270</v>
      </c>
      <c r="H6" s="1" t="s">
        <v>1271</v>
      </c>
      <c r="I6" s="1" t="s">
        <v>1272</v>
      </c>
      <c r="J6" s="1" t="s">
        <v>1273</v>
      </c>
      <c r="K6" s="1" t="s">
        <v>1274</v>
      </c>
      <c r="L6" s="1" t="s">
        <v>1275</v>
      </c>
      <c r="M6">
        <v>0</v>
      </c>
      <c r="N6">
        <v>1</v>
      </c>
      <c r="O6">
        <v>1</v>
      </c>
      <c r="P6">
        <v>1</v>
      </c>
      <c r="Q6">
        <v>1</v>
      </c>
      <c r="R6" s="1" t="s">
        <v>1270</v>
      </c>
      <c r="S6" s="1" t="s">
        <v>140</v>
      </c>
    </row>
    <row r="7" spans="1:19" x14ac:dyDescent="0.25">
      <c r="A7" s="1" t="s">
        <v>149</v>
      </c>
      <c r="B7" s="1" t="s">
        <v>150</v>
      </c>
      <c r="C7" s="1" t="s">
        <v>151</v>
      </c>
      <c r="D7" s="1" t="s">
        <v>664</v>
      </c>
      <c r="E7" s="1" t="s">
        <v>152</v>
      </c>
      <c r="F7" s="1" t="s">
        <v>153</v>
      </c>
      <c r="G7" s="1" t="s">
        <v>1276</v>
      </c>
      <c r="H7" s="1" t="s">
        <v>1277</v>
      </c>
      <c r="I7" s="1" t="s">
        <v>1278</v>
      </c>
      <c r="J7" s="1" t="s">
        <v>1279</v>
      </c>
      <c r="K7" s="1" t="s">
        <v>1280</v>
      </c>
      <c r="L7" s="1" t="s">
        <v>1281</v>
      </c>
      <c r="M7">
        <v>0</v>
      </c>
      <c r="N7">
        <v>1</v>
      </c>
      <c r="O7">
        <v>1</v>
      </c>
      <c r="P7">
        <v>1</v>
      </c>
      <c r="Q7">
        <v>1</v>
      </c>
      <c r="R7" s="1" t="s">
        <v>1276</v>
      </c>
      <c r="S7" s="1" t="s">
        <v>140</v>
      </c>
    </row>
    <row r="8" spans="1:19" x14ac:dyDescent="0.25">
      <c r="A8" s="1" t="s">
        <v>149</v>
      </c>
      <c r="B8" s="1" t="s">
        <v>150</v>
      </c>
      <c r="C8" s="1" t="s">
        <v>151</v>
      </c>
      <c r="D8" s="1" t="s">
        <v>695</v>
      </c>
      <c r="E8" s="1" t="s">
        <v>220</v>
      </c>
      <c r="F8" s="1" t="s">
        <v>153</v>
      </c>
      <c r="G8" s="1" t="s">
        <v>1282</v>
      </c>
      <c r="H8" s="1" t="s">
        <v>1277</v>
      </c>
      <c r="I8" s="1" t="s">
        <v>1278</v>
      </c>
      <c r="J8" s="1" t="s">
        <v>1283</v>
      </c>
      <c r="K8" s="1" t="s">
        <v>1284</v>
      </c>
      <c r="L8" s="1" t="s">
        <v>1285</v>
      </c>
      <c r="M8">
        <v>0</v>
      </c>
      <c r="N8">
        <v>1</v>
      </c>
      <c r="O8">
        <v>1</v>
      </c>
      <c r="P8">
        <v>1</v>
      </c>
      <c r="Q8">
        <v>1</v>
      </c>
      <c r="R8" s="1" t="s">
        <v>1282</v>
      </c>
      <c r="S8" s="1" t="s">
        <v>140</v>
      </c>
    </row>
    <row r="9" spans="1:19" x14ac:dyDescent="0.25">
      <c r="A9" s="1" t="s">
        <v>149</v>
      </c>
      <c r="B9" s="1" t="s">
        <v>150</v>
      </c>
      <c r="C9" s="1" t="s">
        <v>151</v>
      </c>
      <c r="D9" s="1" t="s">
        <v>664</v>
      </c>
      <c r="E9" s="1" t="s">
        <v>152</v>
      </c>
      <c r="F9" s="1" t="s">
        <v>153</v>
      </c>
      <c r="G9" s="1" t="s">
        <v>1286</v>
      </c>
      <c r="H9" s="1" t="s">
        <v>1287</v>
      </c>
      <c r="I9" s="1" t="s">
        <v>1288</v>
      </c>
      <c r="J9" s="1" t="s">
        <v>1289</v>
      </c>
      <c r="K9" s="1" t="s">
        <v>1290</v>
      </c>
      <c r="L9" s="1" t="s">
        <v>1291</v>
      </c>
      <c r="M9">
        <v>0</v>
      </c>
      <c r="N9">
        <v>1</v>
      </c>
      <c r="O9">
        <v>1</v>
      </c>
      <c r="P9">
        <v>1</v>
      </c>
      <c r="Q9">
        <v>1</v>
      </c>
      <c r="R9" s="1" t="s">
        <v>1286</v>
      </c>
      <c r="S9" s="1" t="s">
        <v>140</v>
      </c>
    </row>
    <row r="10" spans="1:19" x14ac:dyDescent="0.25">
      <c r="A10" s="1" t="s">
        <v>141</v>
      </c>
      <c r="B10" s="1" t="s">
        <v>142</v>
      </c>
      <c r="C10" s="1" t="s">
        <v>143</v>
      </c>
      <c r="D10" s="1" t="s">
        <v>661</v>
      </c>
      <c r="E10" s="1" t="s">
        <v>144</v>
      </c>
      <c r="F10" s="1" t="s">
        <v>145</v>
      </c>
      <c r="G10" s="1" t="s">
        <v>1292</v>
      </c>
      <c r="H10" s="1" t="s">
        <v>1293</v>
      </c>
      <c r="I10" s="1" t="s">
        <v>1294</v>
      </c>
      <c r="J10" s="1" t="s">
        <v>1295</v>
      </c>
      <c r="K10" s="1" t="s">
        <v>1296</v>
      </c>
      <c r="L10" s="1" t="s">
        <v>1297</v>
      </c>
      <c r="M10">
        <v>0</v>
      </c>
      <c r="N10">
        <v>1</v>
      </c>
      <c r="O10">
        <v>1</v>
      </c>
      <c r="P10">
        <v>1</v>
      </c>
      <c r="Q10">
        <v>1</v>
      </c>
      <c r="R10" s="1" t="s">
        <v>1292</v>
      </c>
      <c r="S10" s="1" t="s">
        <v>140</v>
      </c>
    </row>
    <row r="11" spans="1:19" x14ac:dyDescent="0.25">
      <c r="A11" s="1" t="s">
        <v>149</v>
      </c>
      <c r="B11" s="1" t="s">
        <v>170</v>
      </c>
      <c r="C11" s="1" t="s">
        <v>247</v>
      </c>
      <c r="D11" s="1" t="s">
        <v>711</v>
      </c>
      <c r="E11" s="1" t="s">
        <v>248</v>
      </c>
      <c r="F11" s="1" t="s">
        <v>249</v>
      </c>
      <c r="G11" s="1" t="s">
        <v>1298</v>
      </c>
      <c r="H11" s="1" t="s">
        <v>1299</v>
      </c>
      <c r="I11" s="1" t="s">
        <v>1300</v>
      </c>
      <c r="J11" s="1" t="s">
        <v>1301</v>
      </c>
      <c r="K11" s="1" t="s">
        <v>1302</v>
      </c>
      <c r="L11" s="1" t="s">
        <v>1303</v>
      </c>
      <c r="M11">
        <v>2</v>
      </c>
      <c r="N11">
        <v>1</v>
      </c>
      <c r="O11">
        <v>1</v>
      </c>
      <c r="P11">
        <v>1</v>
      </c>
      <c r="Q11">
        <v>1</v>
      </c>
      <c r="R11" s="1" t="s">
        <v>1298</v>
      </c>
      <c r="S11" s="1" t="s">
        <v>140</v>
      </c>
    </row>
    <row r="12" spans="1:19" x14ac:dyDescent="0.25">
      <c r="A12" s="1" t="s">
        <v>149</v>
      </c>
      <c r="B12" s="1" t="s">
        <v>170</v>
      </c>
      <c r="C12" s="1" t="s">
        <v>192</v>
      </c>
      <c r="D12" s="1" t="s">
        <v>780</v>
      </c>
      <c r="E12" s="1" t="s">
        <v>360</v>
      </c>
      <c r="F12" s="1" t="s">
        <v>254</v>
      </c>
      <c r="G12" s="1" t="s">
        <v>1304</v>
      </c>
      <c r="H12" s="1" t="s">
        <v>256</v>
      </c>
      <c r="I12" s="1" t="s">
        <v>107</v>
      </c>
      <c r="J12" s="1" t="s">
        <v>1305</v>
      </c>
      <c r="K12" s="1" t="s">
        <v>1306</v>
      </c>
      <c r="L12" s="1" t="s">
        <v>1307</v>
      </c>
      <c r="M12">
        <v>6</v>
      </c>
      <c r="N12">
        <v>0</v>
      </c>
      <c r="O12">
        <v>1</v>
      </c>
      <c r="P12">
        <v>1</v>
      </c>
      <c r="Q12">
        <v>1</v>
      </c>
      <c r="R12" s="1" t="s">
        <v>1304</v>
      </c>
      <c r="S12" s="1" t="s">
        <v>140</v>
      </c>
    </row>
    <row r="13" spans="1:19" x14ac:dyDescent="0.25">
      <c r="A13" s="1" t="s">
        <v>149</v>
      </c>
      <c r="B13" s="1" t="s">
        <v>170</v>
      </c>
      <c r="C13" s="1" t="s">
        <v>247</v>
      </c>
      <c r="D13" s="1" t="s">
        <v>857</v>
      </c>
      <c r="E13" s="1" t="s">
        <v>484</v>
      </c>
      <c r="F13" s="1" t="s">
        <v>249</v>
      </c>
      <c r="G13" s="1" t="s">
        <v>1308</v>
      </c>
      <c r="H13" s="1" t="s">
        <v>1309</v>
      </c>
      <c r="I13" s="1" t="s">
        <v>1310</v>
      </c>
      <c r="J13" s="1" t="s">
        <v>1311</v>
      </c>
      <c r="K13" s="1" t="s">
        <v>1312</v>
      </c>
      <c r="L13" s="1" t="s">
        <v>1313</v>
      </c>
      <c r="M13">
        <v>0</v>
      </c>
      <c r="N13">
        <v>1</v>
      </c>
      <c r="O13">
        <v>1</v>
      </c>
      <c r="P13">
        <v>1</v>
      </c>
      <c r="Q13">
        <v>1</v>
      </c>
      <c r="R13" s="1" t="s">
        <v>1308</v>
      </c>
      <c r="S13" s="1" t="s">
        <v>140</v>
      </c>
    </row>
    <row r="14" spans="1:19" x14ac:dyDescent="0.25">
      <c r="A14" s="1" t="s">
        <v>149</v>
      </c>
      <c r="B14" s="1" t="s">
        <v>150</v>
      </c>
      <c r="C14" s="1" t="s">
        <v>151</v>
      </c>
      <c r="D14" s="1" t="s">
        <v>695</v>
      </c>
      <c r="E14" s="1" t="s">
        <v>220</v>
      </c>
      <c r="F14" s="1" t="s">
        <v>153</v>
      </c>
      <c r="G14" s="1" t="s">
        <v>1314</v>
      </c>
      <c r="H14" s="1" t="s">
        <v>1315</v>
      </c>
      <c r="I14" s="1" t="s">
        <v>1316</v>
      </c>
      <c r="J14" s="1" t="s">
        <v>1317</v>
      </c>
      <c r="K14" s="1" t="s">
        <v>1318</v>
      </c>
      <c r="L14" s="1" t="s">
        <v>1319</v>
      </c>
      <c r="M14">
        <v>0</v>
      </c>
      <c r="N14">
        <v>1</v>
      </c>
      <c r="O14">
        <v>1</v>
      </c>
      <c r="P14">
        <v>1</v>
      </c>
      <c r="Q14">
        <v>1</v>
      </c>
      <c r="R14" s="1" t="s">
        <v>1314</v>
      </c>
      <c r="S14" s="1" t="s">
        <v>140</v>
      </c>
    </row>
    <row r="15" spans="1:19" x14ac:dyDescent="0.25">
      <c r="A15" s="1" t="s">
        <v>178</v>
      </c>
      <c r="B15" s="1" t="s">
        <v>179</v>
      </c>
      <c r="C15" s="1" t="s">
        <v>287</v>
      </c>
      <c r="D15" s="1" t="s">
        <v>733</v>
      </c>
      <c r="E15" s="1" t="s">
        <v>288</v>
      </c>
      <c r="F15" s="1" t="s">
        <v>289</v>
      </c>
      <c r="G15" s="1" t="s">
        <v>1320</v>
      </c>
      <c r="H15" s="1" t="s">
        <v>1321</v>
      </c>
      <c r="I15" s="1" t="s">
        <v>1322</v>
      </c>
      <c r="J15" s="1" t="s">
        <v>1323</v>
      </c>
      <c r="K15" s="1" t="s">
        <v>1324</v>
      </c>
      <c r="L15" s="1" t="s">
        <v>1325</v>
      </c>
      <c r="M15">
        <v>3</v>
      </c>
      <c r="N15">
        <v>1</v>
      </c>
      <c r="O15">
        <v>1</v>
      </c>
      <c r="P15">
        <v>1</v>
      </c>
      <c r="Q15">
        <v>1</v>
      </c>
      <c r="R15" s="1" t="s">
        <v>1320</v>
      </c>
      <c r="S15" s="1" t="s">
        <v>140</v>
      </c>
    </row>
    <row r="16" spans="1:19" x14ac:dyDescent="0.25">
      <c r="A16" s="1" t="s">
        <v>149</v>
      </c>
      <c r="B16" s="1" t="s">
        <v>150</v>
      </c>
      <c r="C16" s="1" t="s">
        <v>158</v>
      </c>
      <c r="D16" s="1" t="s">
        <v>670</v>
      </c>
      <c r="E16" s="1" t="s">
        <v>165</v>
      </c>
      <c r="F16" s="1" t="s">
        <v>160</v>
      </c>
      <c r="G16" s="1" t="s">
        <v>1326</v>
      </c>
      <c r="H16" s="1" t="s">
        <v>1064</v>
      </c>
      <c r="I16" s="1" t="s">
        <v>1327</v>
      </c>
      <c r="J16" s="1" t="s">
        <v>1328</v>
      </c>
      <c r="K16" s="1" t="s">
        <v>1329</v>
      </c>
      <c r="L16" s="1" t="s">
        <v>1330</v>
      </c>
      <c r="M16">
        <v>0</v>
      </c>
      <c r="N16">
        <v>1</v>
      </c>
      <c r="O16">
        <v>1</v>
      </c>
      <c r="P16">
        <v>1</v>
      </c>
      <c r="Q16">
        <v>1</v>
      </c>
      <c r="R16" s="1" t="s">
        <v>1326</v>
      </c>
      <c r="S16" s="1" t="s">
        <v>140</v>
      </c>
    </row>
    <row r="17" spans="1:19" x14ac:dyDescent="0.25">
      <c r="A17" s="1" t="s">
        <v>141</v>
      </c>
      <c r="B17" s="1" t="s">
        <v>142</v>
      </c>
      <c r="C17" s="1" t="s">
        <v>143</v>
      </c>
      <c r="D17" s="1" t="s">
        <v>741</v>
      </c>
      <c r="E17" s="1" t="s">
        <v>301</v>
      </c>
      <c r="F17" s="1" t="s">
        <v>145</v>
      </c>
      <c r="G17" s="1" t="s">
        <v>1331</v>
      </c>
      <c r="H17" s="1" t="s">
        <v>1332</v>
      </c>
      <c r="I17" s="1" t="s">
        <v>1333</v>
      </c>
      <c r="J17" s="1" t="s">
        <v>1334</v>
      </c>
      <c r="K17" s="1" t="s">
        <v>1335</v>
      </c>
      <c r="L17" s="1" t="s">
        <v>1336</v>
      </c>
      <c r="M17">
        <v>1</v>
      </c>
      <c r="N17">
        <v>1</v>
      </c>
      <c r="O17">
        <v>1</v>
      </c>
      <c r="P17">
        <v>1</v>
      </c>
      <c r="Q17">
        <v>1</v>
      </c>
      <c r="R17" s="1" t="s">
        <v>1331</v>
      </c>
      <c r="S17" s="1" t="s">
        <v>140</v>
      </c>
    </row>
    <row r="18" spans="1:19" x14ac:dyDescent="0.25">
      <c r="A18" s="1" t="s">
        <v>149</v>
      </c>
      <c r="B18" s="1" t="s">
        <v>170</v>
      </c>
      <c r="C18" s="1" t="s">
        <v>171</v>
      </c>
      <c r="D18" s="1" t="s">
        <v>673</v>
      </c>
      <c r="E18" s="1" t="s">
        <v>172</v>
      </c>
      <c r="F18" s="1" t="s">
        <v>173</v>
      </c>
      <c r="G18" s="1" t="s">
        <v>1337</v>
      </c>
      <c r="H18" s="1" t="s">
        <v>1338</v>
      </c>
      <c r="I18" s="1" t="s">
        <v>1339</v>
      </c>
      <c r="J18" s="1" t="s">
        <v>1340</v>
      </c>
      <c r="K18" s="1" t="s">
        <v>1341</v>
      </c>
      <c r="L18" s="1" t="s">
        <v>1342</v>
      </c>
      <c r="M18">
        <v>1</v>
      </c>
      <c r="N18">
        <v>1</v>
      </c>
      <c r="O18">
        <v>1</v>
      </c>
      <c r="P18">
        <v>1</v>
      </c>
      <c r="Q18">
        <v>1</v>
      </c>
      <c r="R18" s="1" t="s">
        <v>1337</v>
      </c>
      <c r="S18" s="1" t="s">
        <v>140</v>
      </c>
    </row>
    <row r="19" spans="1:19" x14ac:dyDescent="0.25">
      <c r="A19" s="1" t="s">
        <v>141</v>
      </c>
      <c r="B19" s="1" t="s">
        <v>142</v>
      </c>
      <c r="C19" s="1" t="s">
        <v>258</v>
      </c>
      <c r="D19" s="1" t="s">
        <v>1343</v>
      </c>
      <c r="E19" s="1" t="s">
        <v>1344</v>
      </c>
      <c r="F19" s="1" t="s">
        <v>260</v>
      </c>
      <c r="G19" s="1" t="s">
        <v>1345</v>
      </c>
      <c r="H19" s="1" t="s">
        <v>1346</v>
      </c>
      <c r="I19" s="1" t="s">
        <v>1347</v>
      </c>
      <c r="J19" s="1" t="s">
        <v>1348</v>
      </c>
      <c r="K19" s="1" t="s">
        <v>1349</v>
      </c>
      <c r="L19" s="1" t="s">
        <v>1350</v>
      </c>
      <c r="M19">
        <v>0</v>
      </c>
      <c r="N19">
        <v>1</v>
      </c>
      <c r="O19">
        <v>1</v>
      </c>
      <c r="P19">
        <v>1</v>
      </c>
      <c r="Q19">
        <v>1</v>
      </c>
      <c r="R19" s="1" t="s">
        <v>1345</v>
      </c>
      <c r="S19" s="1" t="s">
        <v>140</v>
      </c>
    </row>
    <row r="20" spans="1:19" x14ac:dyDescent="0.25">
      <c r="A20" s="1" t="s">
        <v>178</v>
      </c>
      <c r="B20" s="1" t="s">
        <v>179</v>
      </c>
      <c r="C20" s="1" t="s">
        <v>287</v>
      </c>
      <c r="D20" s="1" t="s">
        <v>1351</v>
      </c>
      <c r="E20" s="1" t="s">
        <v>1352</v>
      </c>
      <c r="F20" s="1" t="s">
        <v>289</v>
      </c>
      <c r="G20" s="1" t="s">
        <v>1353</v>
      </c>
      <c r="H20" s="1" t="s">
        <v>1354</v>
      </c>
      <c r="I20" s="1" t="s">
        <v>1355</v>
      </c>
      <c r="J20" s="1" t="s">
        <v>1356</v>
      </c>
      <c r="K20" s="1" t="s">
        <v>1357</v>
      </c>
      <c r="L20" s="1" t="s">
        <v>1358</v>
      </c>
      <c r="M20">
        <v>2</v>
      </c>
      <c r="N20">
        <v>1</v>
      </c>
      <c r="O20">
        <v>1</v>
      </c>
      <c r="P20">
        <v>1</v>
      </c>
      <c r="Q20">
        <v>1</v>
      </c>
      <c r="R20" s="1" t="s">
        <v>1353</v>
      </c>
      <c r="S20" s="1" t="s">
        <v>140</v>
      </c>
    </row>
    <row r="21" spans="1:19" x14ac:dyDescent="0.25">
      <c r="A21" s="1" t="s">
        <v>149</v>
      </c>
      <c r="B21" s="1" t="s">
        <v>150</v>
      </c>
      <c r="C21" s="1" t="s">
        <v>158</v>
      </c>
      <c r="D21" s="1" t="s">
        <v>667</v>
      </c>
      <c r="E21" s="1" t="s">
        <v>159</v>
      </c>
      <c r="F21" s="1" t="s">
        <v>160</v>
      </c>
      <c r="G21" s="1" t="s">
        <v>1359</v>
      </c>
      <c r="H21" s="1" t="s">
        <v>1360</v>
      </c>
      <c r="I21" s="1" t="s">
        <v>1361</v>
      </c>
      <c r="J21" s="1" t="s">
        <v>1362</v>
      </c>
      <c r="K21" s="1" t="s">
        <v>1363</v>
      </c>
      <c r="L21" s="1" t="s">
        <v>1364</v>
      </c>
      <c r="M21">
        <v>1</v>
      </c>
      <c r="N21">
        <v>1</v>
      </c>
      <c r="O21">
        <v>1</v>
      </c>
      <c r="P21">
        <v>1</v>
      </c>
      <c r="Q21">
        <v>1</v>
      </c>
      <c r="R21" s="1" t="s">
        <v>1359</v>
      </c>
      <c r="S21" s="1" t="s">
        <v>140</v>
      </c>
    </row>
    <row r="22" spans="1:19" x14ac:dyDescent="0.25">
      <c r="A22" s="1" t="s">
        <v>212</v>
      </c>
      <c r="B22" s="1" t="s">
        <v>213</v>
      </c>
      <c r="C22" s="1" t="s">
        <v>375</v>
      </c>
      <c r="D22" s="1" t="s">
        <v>793</v>
      </c>
      <c r="E22" s="1" t="s">
        <v>381</v>
      </c>
      <c r="F22" s="1" t="s">
        <v>377</v>
      </c>
      <c r="G22" s="1" t="s">
        <v>1365</v>
      </c>
      <c r="H22" s="1" t="s">
        <v>1366</v>
      </c>
      <c r="I22" s="1" t="s">
        <v>1367</v>
      </c>
      <c r="J22" s="1" t="s">
        <v>1368</v>
      </c>
      <c r="K22" s="1" t="s">
        <v>1369</v>
      </c>
      <c r="L22" s="1" t="s">
        <v>1370</v>
      </c>
      <c r="M22">
        <v>0</v>
      </c>
      <c r="N22">
        <v>1</v>
      </c>
      <c r="O22">
        <v>1</v>
      </c>
      <c r="P22">
        <v>1</v>
      </c>
      <c r="Q22">
        <v>1</v>
      </c>
      <c r="R22" s="1" t="s">
        <v>1365</v>
      </c>
      <c r="S22" s="1" t="s">
        <v>140</v>
      </c>
    </row>
    <row r="23" spans="1:19" x14ac:dyDescent="0.25">
      <c r="A23" s="1" t="s">
        <v>178</v>
      </c>
      <c r="B23" s="1" t="s">
        <v>179</v>
      </c>
      <c r="C23" s="1" t="s">
        <v>187</v>
      </c>
      <c r="D23" s="1" t="s">
        <v>679</v>
      </c>
      <c r="E23" s="1" t="s">
        <v>188</v>
      </c>
      <c r="F23" s="1" t="s">
        <v>189</v>
      </c>
      <c r="G23" s="1" t="s">
        <v>1371</v>
      </c>
      <c r="H23" s="1" t="s">
        <v>1372</v>
      </c>
      <c r="I23" s="1" t="s">
        <v>1373</v>
      </c>
      <c r="J23" s="1" t="s">
        <v>1374</v>
      </c>
      <c r="K23" s="1" t="s">
        <v>1375</v>
      </c>
      <c r="L23" s="1" t="s">
        <v>1376</v>
      </c>
      <c r="M23">
        <v>2</v>
      </c>
      <c r="N23">
        <v>1</v>
      </c>
      <c r="O23">
        <v>1</v>
      </c>
      <c r="P23">
        <v>1</v>
      </c>
      <c r="Q23">
        <v>1</v>
      </c>
      <c r="R23" s="1" t="s">
        <v>1371</v>
      </c>
      <c r="S23" s="1" t="s">
        <v>140</v>
      </c>
    </row>
    <row r="24" spans="1:19" x14ac:dyDescent="0.25">
      <c r="A24" s="1" t="s">
        <v>178</v>
      </c>
      <c r="B24" s="1" t="s">
        <v>315</v>
      </c>
      <c r="C24" s="1" t="s">
        <v>316</v>
      </c>
      <c r="D24" s="1" t="s">
        <v>750</v>
      </c>
      <c r="E24" s="1" t="s">
        <v>317</v>
      </c>
      <c r="F24" s="1" t="s">
        <v>318</v>
      </c>
      <c r="G24" s="1" t="s">
        <v>1377</v>
      </c>
      <c r="H24" s="1" t="s">
        <v>1378</v>
      </c>
      <c r="I24" s="1" t="s">
        <v>1379</v>
      </c>
      <c r="J24" s="1" t="s">
        <v>1380</v>
      </c>
      <c r="K24" s="1" t="s">
        <v>1381</v>
      </c>
      <c r="L24" s="1" t="s">
        <v>1382</v>
      </c>
      <c r="M24">
        <v>0</v>
      </c>
      <c r="N24">
        <v>1</v>
      </c>
      <c r="O24">
        <v>1</v>
      </c>
      <c r="P24">
        <v>1</v>
      </c>
      <c r="Q24">
        <v>1</v>
      </c>
      <c r="R24" s="1" t="s">
        <v>1377</v>
      </c>
      <c r="S24" s="1" t="s">
        <v>140</v>
      </c>
    </row>
    <row r="25" spans="1:19" x14ac:dyDescent="0.25">
      <c r="A25" s="1" t="s">
        <v>149</v>
      </c>
      <c r="B25" s="1" t="s">
        <v>170</v>
      </c>
      <c r="C25" s="1" t="s">
        <v>192</v>
      </c>
      <c r="D25" s="1" t="s">
        <v>702</v>
      </c>
      <c r="E25" s="1" t="s">
        <v>233</v>
      </c>
      <c r="F25" s="1" t="s">
        <v>194</v>
      </c>
      <c r="G25" s="1" t="s">
        <v>1383</v>
      </c>
      <c r="H25" s="1" t="s">
        <v>1384</v>
      </c>
      <c r="I25" s="1" t="s">
        <v>1385</v>
      </c>
      <c r="J25" s="1" t="s">
        <v>1386</v>
      </c>
      <c r="K25" s="1" t="s">
        <v>1387</v>
      </c>
      <c r="L25" s="1" t="s">
        <v>1388</v>
      </c>
      <c r="M25">
        <v>0</v>
      </c>
      <c r="N25">
        <v>1</v>
      </c>
      <c r="O25">
        <v>1</v>
      </c>
      <c r="P25">
        <v>1</v>
      </c>
      <c r="Q25">
        <v>1</v>
      </c>
      <c r="R25" s="1" t="s">
        <v>1383</v>
      </c>
      <c r="S25" s="1" t="s">
        <v>140</v>
      </c>
    </row>
    <row r="26" spans="1:19" x14ac:dyDescent="0.25">
      <c r="A26" s="1" t="s">
        <v>149</v>
      </c>
      <c r="B26" s="1" t="s">
        <v>170</v>
      </c>
      <c r="C26" s="1" t="s">
        <v>192</v>
      </c>
      <c r="D26" s="1" t="s">
        <v>682</v>
      </c>
      <c r="E26" s="1" t="s">
        <v>193</v>
      </c>
      <c r="F26" s="1" t="s">
        <v>194</v>
      </c>
      <c r="G26" s="1" t="s">
        <v>1389</v>
      </c>
      <c r="H26" s="1" t="s">
        <v>1390</v>
      </c>
      <c r="I26" s="1" t="s">
        <v>1391</v>
      </c>
      <c r="J26" s="1" t="s">
        <v>1392</v>
      </c>
      <c r="K26" s="1" t="s">
        <v>1393</v>
      </c>
      <c r="L26" s="1" t="s">
        <v>1394</v>
      </c>
      <c r="M26">
        <v>5</v>
      </c>
      <c r="N26">
        <v>0</v>
      </c>
      <c r="O26">
        <v>1</v>
      </c>
      <c r="P26">
        <v>1</v>
      </c>
      <c r="Q26">
        <v>1</v>
      </c>
      <c r="R26" s="1" t="s">
        <v>1389</v>
      </c>
      <c r="S26" s="1" t="s">
        <v>140</v>
      </c>
    </row>
    <row r="27" spans="1:19" x14ac:dyDescent="0.25">
      <c r="A27" s="1" t="s">
        <v>149</v>
      </c>
      <c r="B27" s="1" t="s">
        <v>150</v>
      </c>
      <c r="C27" s="1" t="s">
        <v>158</v>
      </c>
      <c r="D27" s="1" t="s">
        <v>670</v>
      </c>
      <c r="E27" s="1" t="s">
        <v>165</v>
      </c>
      <c r="F27" s="1" t="s">
        <v>160</v>
      </c>
      <c r="G27" s="1" t="s">
        <v>1395</v>
      </c>
      <c r="H27" s="1" t="s">
        <v>1396</v>
      </c>
      <c r="I27" s="1" t="s">
        <v>1397</v>
      </c>
      <c r="J27" s="1" t="s">
        <v>1398</v>
      </c>
      <c r="K27" s="1" t="s">
        <v>1399</v>
      </c>
      <c r="L27" s="1" t="s">
        <v>1400</v>
      </c>
      <c r="M27">
        <v>3</v>
      </c>
      <c r="N27">
        <v>1</v>
      </c>
      <c r="O27">
        <v>1</v>
      </c>
      <c r="P27">
        <v>1</v>
      </c>
      <c r="Q27">
        <v>1</v>
      </c>
      <c r="R27" s="1" t="s">
        <v>1395</v>
      </c>
      <c r="S27" s="1" t="s">
        <v>140</v>
      </c>
    </row>
    <row r="28" spans="1:19" x14ac:dyDescent="0.25">
      <c r="A28" s="1" t="s">
        <v>149</v>
      </c>
      <c r="B28" s="1" t="s">
        <v>170</v>
      </c>
      <c r="C28" s="1" t="s">
        <v>416</v>
      </c>
      <c r="D28" s="1" t="s">
        <v>815</v>
      </c>
      <c r="E28" s="1" t="s">
        <v>417</v>
      </c>
      <c r="F28" s="1" t="s">
        <v>418</v>
      </c>
      <c r="G28" s="1" t="s">
        <v>1401</v>
      </c>
      <c r="H28" s="1" t="s">
        <v>1402</v>
      </c>
      <c r="I28" s="1" t="s">
        <v>1403</v>
      </c>
      <c r="J28" s="1" t="s">
        <v>1404</v>
      </c>
      <c r="K28" s="1" t="s">
        <v>1405</v>
      </c>
      <c r="L28" s="1" t="s">
        <v>1406</v>
      </c>
      <c r="M28">
        <v>1</v>
      </c>
      <c r="N28">
        <v>1</v>
      </c>
      <c r="O28">
        <v>1</v>
      </c>
      <c r="P28">
        <v>1</v>
      </c>
      <c r="Q28">
        <v>1</v>
      </c>
      <c r="R28" s="1" t="s">
        <v>1401</v>
      </c>
      <c r="S28" s="1" t="s">
        <v>140</v>
      </c>
    </row>
    <row r="29" spans="1:19" x14ac:dyDescent="0.25">
      <c r="A29" s="1" t="s">
        <v>149</v>
      </c>
      <c r="B29" s="1" t="s">
        <v>170</v>
      </c>
      <c r="C29" s="1" t="s">
        <v>247</v>
      </c>
      <c r="D29" s="1" t="s">
        <v>711</v>
      </c>
      <c r="E29" s="1" t="s">
        <v>248</v>
      </c>
      <c r="F29" s="1" t="s">
        <v>249</v>
      </c>
      <c r="G29" s="1" t="s">
        <v>1407</v>
      </c>
      <c r="H29" s="1" t="s">
        <v>1408</v>
      </c>
      <c r="I29" s="1" t="s">
        <v>1409</v>
      </c>
      <c r="J29" s="1" t="s">
        <v>1410</v>
      </c>
      <c r="K29" s="1" t="s">
        <v>1411</v>
      </c>
      <c r="L29" s="1" t="s">
        <v>1412</v>
      </c>
      <c r="M29">
        <v>1</v>
      </c>
      <c r="N29">
        <v>1</v>
      </c>
      <c r="O29">
        <v>1</v>
      </c>
      <c r="P29">
        <v>1</v>
      </c>
      <c r="Q29">
        <v>1</v>
      </c>
      <c r="R29" s="1" t="s">
        <v>1407</v>
      </c>
      <c r="S29" s="1" t="s">
        <v>140</v>
      </c>
    </row>
    <row r="30" spans="1:19" x14ac:dyDescent="0.25">
      <c r="A30" s="1" t="s">
        <v>178</v>
      </c>
      <c r="B30" s="1" t="s">
        <v>179</v>
      </c>
      <c r="C30" s="1" t="s">
        <v>203</v>
      </c>
      <c r="D30" s="1" t="s">
        <v>708</v>
      </c>
      <c r="E30" s="1" t="s">
        <v>243</v>
      </c>
      <c r="F30" s="1" t="s">
        <v>205</v>
      </c>
      <c r="G30" s="1" t="s">
        <v>1413</v>
      </c>
      <c r="H30" s="1" t="s">
        <v>1414</v>
      </c>
      <c r="I30" s="1" t="s">
        <v>1415</v>
      </c>
      <c r="J30" s="1" t="s">
        <v>1416</v>
      </c>
      <c r="K30" s="1" t="s">
        <v>1417</v>
      </c>
      <c r="L30" s="1" t="s">
        <v>1418</v>
      </c>
      <c r="M30">
        <v>1</v>
      </c>
      <c r="N30">
        <v>1</v>
      </c>
      <c r="O30">
        <v>1</v>
      </c>
      <c r="P30">
        <v>1</v>
      </c>
      <c r="Q30">
        <v>1</v>
      </c>
      <c r="R30" s="1" t="s">
        <v>1413</v>
      </c>
      <c r="S30" s="1" t="s">
        <v>140</v>
      </c>
    </row>
    <row r="31" spans="1:19" x14ac:dyDescent="0.25">
      <c r="A31" s="1" t="s">
        <v>212</v>
      </c>
      <c r="B31" s="1" t="s">
        <v>270</v>
      </c>
      <c r="C31" s="1" t="s">
        <v>525</v>
      </c>
      <c r="D31" s="1" t="s">
        <v>1419</v>
      </c>
      <c r="E31" s="1" t="s">
        <v>1420</v>
      </c>
      <c r="F31" s="1" t="s">
        <v>1080</v>
      </c>
      <c r="G31" s="1" t="s">
        <v>1421</v>
      </c>
      <c r="H31" s="1" t="s">
        <v>1422</v>
      </c>
      <c r="I31" s="1" t="s">
        <v>1423</v>
      </c>
      <c r="J31" s="1" t="s">
        <v>1424</v>
      </c>
      <c r="K31" s="1" t="s">
        <v>1425</v>
      </c>
      <c r="L31" s="1" t="s">
        <v>1426</v>
      </c>
      <c r="M31">
        <v>4</v>
      </c>
      <c r="N31">
        <v>0</v>
      </c>
      <c r="O31">
        <v>1</v>
      </c>
      <c r="P31">
        <v>1</v>
      </c>
      <c r="Q31">
        <v>1</v>
      </c>
      <c r="R31" s="1" t="s">
        <v>1421</v>
      </c>
      <c r="S31" s="1" t="s">
        <v>140</v>
      </c>
    </row>
    <row r="32" spans="1:19" x14ac:dyDescent="0.25">
      <c r="A32" s="1" t="s">
        <v>178</v>
      </c>
      <c r="B32" s="1" t="s">
        <v>315</v>
      </c>
      <c r="C32" s="1" t="s">
        <v>316</v>
      </c>
      <c r="D32" s="1" t="s">
        <v>807</v>
      </c>
      <c r="E32" s="1" t="s">
        <v>403</v>
      </c>
      <c r="F32" s="1" t="s">
        <v>318</v>
      </c>
      <c r="G32" s="1" t="s">
        <v>1427</v>
      </c>
      <c r="H32" s="1" t="s">
        <v>1428</v>
      </c>
      <c r="I32" s="1" t="s">
        <v>1429</v>
      </c>
      <c r="J32" s="1" t="s">
        <v>1430</v>
      </c>
      <c r="K32" s="1" t="s">
        <v>1431</v>
      </c>
      <c r="L32" s="1" t="s">
        <v>1432</v>
      </c>
      <c r="M32">
        <v>3</v>
      </c>
      <c r="N32">
        <v>1</v>
      </c>
      <c r="O32">
        <v>1</v>
      </c>
      <c r="P32">
        <v>1</v>
      </c>
      <c r="Q32">
        <v>1</v>
      </c>
      <c r="R32" s="1" t="s">
        <v>1427</v>
      </c>
      <c r="S32" s="1" t="s">
        <v>140</v>
      </c>
    </row>
    <row r="33" spans="1:19" x14ac:dyDescent="0.25">
      <c r="A33" s="1" t="s">
        <v>149</v>
      </c>
      <c r="B33" s="1" t="s">
        <v>150</v>
      </c>
      <c r="C33" s="1" t="s">
        <v>264</v>
      </c>
      <c r="D33" s="1" t="s">
        <v>720</v>
      </c>
      <c r="E33" s="1" t="s">
        <v>265</v>
      </c>
      <c r="F33" s="1" t="s">
        <v>266</v>
      </c>
      <c r="G33" s="1" t="s">
        <v>1433</v>
      </c>
      <c r="H33" s="1" t="s">
        <v>1434</v>
      </c>
      <c r="I33" s="1" t="s">
        <v>1435</v>
      </c>
      <c r="J33" s="1" t="s">
        <v>1436</v>
      </c>
      <c r="K33" s="1" t="s">
        <v>1437</v>
      </c>
      <c r="L33" s="1" t="s">
        <v>1438</v>
      </c>
      <c r="M33">
        <v>7</v>
      </c>
      <c r="N33">
        <v>0</v>
      </c>
      <c r="O33">
        <v>1</v>
      </c>
      <c r="P33">
        <v>1</v>
      </c>
      <c r="Q33">
        <v>1</v>
      </c>
      <c r="R33" s="1" t="s">
        <v>1433</v>
      </c>
      <c r="S33" s="1" t="s">
        <v>140</v>
      </c>
    </row>
    <row r="34" spans="1:19" x14ac:dyDescent="0.25">
      <c r="A34" s="1" t="s">
        <v>212</v>
      </c>
      <c r="B34" s="1" t="s">
        <v>270</v>
      </c>
      <c r="C34" s="1" t="s">
        <v>271</v>
      </c>
      <c r="D34" s="1" t="s">
        <v>723</v>
      </c>
      <c r="E34" s="1" t="s">
        <v>272</v>
      </c>
      <c r="F34" s="1" t="s">
        <v>273</v>
      </c>
      <c r="G34" s="1" t="s">
        <v>1439</v>
      </c>
      <c r="H34" s="1" t="s">
        <v>1440</v>
      </c>
      <c r="I34" s="1" t="s">
        <v>1441</v>
      </c>
      <c r="J34" s="1" t="s">
        <v>1442</v>
      </c>
      <c r="K34" s="1" t="s">
        <v>1443</v>
      </c>
      <c r="L34" s="1" t="s">
        <v>1444</v>
      </c>
      <c r="M34">
        <v>2</v>
      </c>
      <c r="N34">
        <v>1</v>
      </c>
      <c r="O34">
        <v>1</v>
      </c>
      <c r="P34">
        <v>1</v>
      </c>
      <c r="Q34">
        <v>1</v>
      </c>
      <c r="R34" s="1" t="s">
        <v>1439</v>
      </c>
      <c r="S34" s="1" t="s">
        <v>140</v>
      </c>
    </row>
    <row r="35" spans="1:19" x14ac:dyDescent="0.25">
      <c r="A35" s="1" t="s">
        <v>141</v>
      </c>
      <c r="B35" s="1" t="s">
        <v>142</v>
      </c>
      <c r="C35" s="1" t="s">
        <v>143</v>
      </c>
      <c r="D35" s="1" t="s">
        <v>661</v>
      </c>
      <c r="E35" s="1" t="s">
        <v>144</v>
      </c>
      <c r="F35" s="1" t="s">
        <v>145</v>
      </c>
      <c r="G35" s="1" t="s">
        <v>1445</v>
      </c>
      <c r="H35" s="1" t="s">
        <v>1446</v>
      </c>
      <c r="I35" s="1" t="s">
        <v>1447</v>
      </c>
      <c r="J35" s="1" t="s">
        <v>1448</v>
      </c>
      <c r="K35" s="1" t="s">
        <v>1449</v>
      </c>
      <c r="L35" s="1" t="s">
        <v>1450</v>
      </c>
      <c r="M35">
        <v>0</v>
      </c>
      <c r="N35">
        <v>1</v>
      </c>
      <c r="O35">
        <v>1</v>
      </c>
      <c r="P35">
        <v>1</v>
      </c>
      <c r="Q35">
        <v>1</v>
      </c>
      <c r="R35" s="1" t="s">
        <v>1445</v>
      </c>
      <c r="S35" s="1" t="s">
        <v>140</v>
      </c>
    </row>
    <row r="36" spans="1:19" x14ac:dyDescent="0.25">
      <c r="A36" s="1" t="s">
        <v>178</v>
      </c>
      <c r="B36" s="1" t="s">
        <v>179</v>
      </c>
      <c r="C36" s="1" t="s">
        <v>187</v>
      </c>
      <c r="D36" s="1" t="s">
        <v>730</v>
      </c>
      <c r="E36" s="1" t="s">
        <v>283</v>
      </c>
      <c r="F36" s="1" t="s">
        <v>189</v>
      </c>
      <c r="G36" s="1" t="s">
        <v>1451</v>
      </c>
      <c r="H36" s="1" t="s">
        <v>1058</v>
      </c>
      <c r="I36" s="1" t="s">
        <v>1059</v>
      </c>
      <c r="J36" s="1" t="s">
        <v>1452</v>
      </c>
      <c r="K36" s="1" t="s">
        <v>1453</v>
      </c>
      <c r="L36" s="1" t="s">
        <v>1454</v>
      </c>
      <c r="M36">
        <v>0</v>
      </c>
      <c r="N36">
        <v>1</v>
      </c>
      <c r="O36">
        <v>1</v>
      </c>
      <c r="P36">
        <v>1</v>
      </c>
      <c r="Q36">
        <v>1</v>
      </c>
      <c r="R36" s="1" t="s">
        <v>1451</v>
      </c>
      <c r="S36" s="1" t="s">
        <v>140</v>
      </c>
    </row>
    <row r="37" spans="1:19" x14ac:dyDescent="0.25">
      <c r="A37" s="1" t="s">
        <v>212</v>
      </c>
      <c r="B37" s="1" t="s">
        <v>270</v>
      </c>
      <c r="C37" s="1" t="s">
        <v>293</v>
      </c>
      <c r="D37" s="1" t="s">
        <v>736</v>
      </c>
      <c r="E37" s="1" t="s">
        <v>294</v>
      </c>
      <c r="F37" s="1" t="s">
        <v>273</v>
      </c>
      <c r="G37" s="1" t="s">
        <v>995</v>
      </c>
      <c r="H37" s="1" t="s">
        <v>996</v>
      </c>
      <c r="I37" s="1" t="s">
        <v>997</v>
      </c>
      <c r="J37" s="1" t="s">
        <v>998</v>
      </c>
      <c r="K37" s="1" t="s">
        <v>999</v>
      </c>
      <c r="L37" s="1" t="s">
        <v>1455</v>
      </c>
      <c r="M37">
        <v>1</v>
      </c>
      <c r="N37">
        <v>1</v>
      </c>
      <c r="O37">
        <v>1</v>
      </c>
      <c r="P37">
        <v>1</v>
      </c>
      <c r="Q37">
        <v>1</v>
      </c>
      <c r="R37" s="1" t="s">
        <v>995</v>
      </c>
      <c r="S37" s="1" t="s">
        <v>140</v>
      </c>
    </row>
    <row r="38" spans="1:19" x14ac:dyDescent="0.25">
      <c r="A38" s="1" t="s">
        <v>149</v>
      </c>
      <c r="B38" s="1" t="s">
        <v>170</v>
      </c>
      <c r="C38" s="1" t="s">
        <v>247</v>
      </c>
      <c r="D38" s="1" t="s">
        <v>857</v>
      </c>
      <c r="E38" s="1" t="s">
        <v>484</v>
      </c>
      <c r="F38" s="1" t="s">
        <v>249</v>
      </c>
      <c r="G38" s="1" t="s">
        <v>1000</v>
      </c>
      <c r="H38" s="1" t="s">
        <v>1001</v>
      </c>
      <c r="I38" s="1" t="s">
        <v>1002</v>
      </c>
      <c r="J38" s="1" t="s">
        <v>1003</v>
      </c>
      <c r="K38" s="1" t="s">
        <v>1004</v>
      </c>
      <c r="L38" s="1" t="s">
        <v>1456</v>
      </c>
      <c r="M38">
        <v>5</v>
      </c>
      <c r="N38">
        <v>0</v>
      </c>
      <c r="O38">
        <v>1</v>
      </c>
      <c r="P38">
        <v>1</v>
      </c>
      <c r="Q38">
        <v>1</v>
      </c>
      <c r="R38" s="1" t="s">
        <v>1000</v>
      </c>
      <c r="S38" s="1" t="s">
        <v>140</v>
      </c>
    </row>
    <row r="39" spans="1:19" x14ac:dyDescent="0.25">
      <c r="A39" s="1" t="s">
        <v>141</v>
      </c>
      <c r="B39" s="1" t="s">
        <v>142</v>
      </c>
      <c r="C39" s="1" t="s">
        <v>143</v>
      </c>
      <c r="D39" s="1" t="s">
        <v>741</v>
      </c>
      <c r="E39" s="1" t="s">
        <v>301</v>
      </c>
      <c r="F39" s="1" t="s">
        <v>145</v>
      </c>
      <c r="G39" s="1" t="s">
        <v>1005</v>
      </c>
      <c r="H39" s="1" t="s">
        <v>1006</v>
      </c>
      <c r="I39" s="1" t="s">
        <v>1007</v>
      </c>
      <c r="J39" s="1" t="s">
        <v>1008</v>
      </c>
      <c r="K39" s="1" t="s">
        <v>1009</v>
      </c>
      <c r="L39" s="1" t="s">
        <v>1010</v>
      </c>
      <c r="M39">
        <v>0</v>
      </c>
      <c r="N39">
        <v>1</v>
      </c>
      <c r="O39">
        <v>1</v>
      </c>
      <c r="P39">
        <v>1</v>
      </c>
      <c r="Q39">
        <v>1</v>
      </c>
      <c r="R39" s="1" t="s">
        <v>1005</v>
      </c>
      <c r="S39" s="1" t="s">
        <v>140</v>
      </c>
    </row>
    <row r="40" spans="1:19" x14ac:dyDescent="0.25">
      <c r="A40" s="1" t="s">
        <v>149</v>
      </c>
      <c r="B40" s="1" t="s">
        <v>170</v>
      </c>
      <c r="C40" s="1" t="s">
        <v>416</v>
      </c>
      <c r="D40" s="1" t="s">
        <v>828</v>
      </c>
      <c r="E40" s="1" t="s">
        <v>438</v>
      </c>
      <c r="F40" s="1" t="s">
        <v>418</v>
      </c>
      <c r="G40" s="1" t="s">
        <v>1011</v>
      </c>
      <c r="H40" s="1" t="s">
        <v>1012</v>
      </c>
      <c r="I40" s="1" t="s">
        <v>1013</v>
      </c>
      <c r="J40" s="1" t="s">
        <v>1014</v>
      </c>
      <c r="K40" s="1" t="s">
        <v>1015</v>
      </c>
      <c r="L40" s="1" t="s">
        <v>1016</v>
      </c>
      <c r="M40">
        <v>0</v>
      </c>
      <c r="N40">
        <v>1</v>
      </c>
      <c r="O40">
        <v>1</v>
      </c>
      <c r="P40">
        <v>1</v>
      </c>
      <c r="Q40">
        <v>1</v>
      </c>
      <c r="R40" s="1" t="s">
        <v>1011</v>
      </c>
      <c r="S40" s="1" t="s">
        <v>140</v>
      </c>
    </row>
    <row r="41" spans="1:19" x14ac:dyDescent="0.25">
      <c r="A41" s="1" t="s">
        <v>149</v>
      </c>
      <c r="B41" s="1" t="s">
        <v>170</v>
      </c>
      <c r="C41" s="1" t="s">
        <v>247</v>
      </c>
      <c r="D41" s="1" t="s">
        <v>857</v>
      </c>
      <c r="E41" s="1" t="s">
        <v>484</v>
      </c>
      <c r="F41" s="1" t="s">
        <v>570</v>
      </c>
      <c r="G41" s="1" t="s">
        <v>1017</v>
      </c>
      <c r="H41" s="1" t="s">
        <v>1018</v>
      </c>
      <c r="I41" s="1" t="s">
        <v>1019</v>
      </c>
      <c r="J41" s="1" t="s">
        <v>1020</v>
      </c>
      <c r="K41" s="1" t="s">
        <v>1021</v>
      </c>
      <c r="L41" s="1" t="s">
        <v>1457</v>
      </c>
      <c r="M41">
        <v>6</v>
      </c>
      <c r="N41">
        <v>0</v>
      </c>
      <c r="O41">
        <v>1</v>
      </c>
      <c r="P41">
        <v>1</v>
      </c>
      <c r="Q41">
        <v>1</v>
      </c>
      <c r="R41" s="1" t="s">
        <v>1017</v>
      </c>
      <c r="S41" s="1" t="s">
        <v>140</v>
      </c>
    </row>
    <row r="42" spans="1:19" x14ac:dyDescent="0.25">
      <c r="A42" s="1" t="s">
        <v>212</v>
      </c>
      <c r="B42" s="1" t="s">
        <v>213</v>
      </c>
      <c r="C42" s="1" t="s">
        <v>214</v>
      </c>
      <c r="D42" s="1" t="s">
        <v>744</v>
      </c>
      <c r="E42" s="1" t="s">
        <v>305</v>
      </c>
      <c r="F42" s="1" t="s">
        <v>216</v>
      </c>
      <c r="G42" s="1" t="s">
        <v>306</v>
      </c>
      <c r="H42" s="1" t="s">
        <v>307</v>
      </c>
      <c r="I42" s="1" t="s">
        <v>44</v>
      </c>
      <c r="J42" s="1" t="s">
        <v>1022</v>
      </c>
      <c r="K42" s="1" t="s">
        <v>1023</v>
      </c>
      <c r="L42" s="1" t="s">
        <v>1024</v>
      </c>
      <c r="M42">
        <v>2</v>
      </c>
      <c r="N42">
        <v>1</v>
      </c>
      <c r="O42">
        <v>1</v>
      </c>
      <c r="P42">
        <v>1</v>
      </c>
      <c r="Q42">
        <v>1</v>
      </c>
      <c r="R42" s="1" t="s">
        <v>306</v>
      </c>
      <c r="S42" s="1" t="s">
        <v>140</v>
      </c>
    </row>
    <row r="43" spans="1:19" x14ac:dyDescent="0.25">
      <c r="A43" s="1" t="s">
        <v>212</v>
      </c>
      <c r="B43" s="1" t="s">
        <v>270</v>
      </c>
      <c r="C43" s="1" t="s">
        <v>271</v>
      </c>
      <c r="D43" s="1" t="s">
        <v>723</v>
      </c>
      <c r="E43" s="1" t="s">
        <v>272</v>
      </c>
      <c r="F43" s="1" t="s">
        <v>273</v>
      </c>
      <c r="G43" s="1" t="s">
        <v>1025</v>
      </c>
      <c r="H43" s="1" t="s">
        <v>1026</v>
      </c>
      <c r="I43" s="1" t="s">
        <v>1027</v>
      </c>
      <c r="J43" s="1" t="s">
        <v>1028</v>
      </c>
      <c r="K43" s="1" t="s">
        <v>1029</v>
      </c>
      <c r="L43" s="1" t="s">
        <v>1030</v>
      </c>
      <c r="M43">
        <v>0</v>
      </c>
      <c r="N43">
        <v>1</v>
      </c>
      <c r="O43">
        <v>1</v>
      </c>
      <c r="P43">
        <v>1</v>
      </c>
      <c r="Q43">
        <v>1</v>
      </c>
      <c r="R43" s="1" t="s">
        <v>1025</v>
      </c>
      <c r="S43" s="1" t="s">
        <v>140</v>
      </c>
    </row>
    <row r="44" spans="1:19" x14ac:dyDescent="0.25">
      <c r="A44" s="1" t="s">
        <v>149</v>
      </c>
      <c r="B44" s="1" t="s">
        <v>170</v>
      </c>
      <c r="C44" s="1" t="s">
        <v>608</v>
      </c>
      <c r="D44" s="1" t="s">
        <v>971</v>
      </c>
      <c r="E44" s="1" t="s">
        <v>650</v>
      </c>
      <c r="F44" s="1" t="s">
        <v>610</v>
      </c>
      <c r="G44" s="1" t="s">
        <v>1031</v>
      </c>
      <c r="H44" s="1" t="s">
        <v>1032</v>
      </c>
      <c r="I44" s="1" t="s">
        <v>1033</v>
      </c>
      <c r="J44" s="1" t="s">
        <v>1034</v>
      </c>
      <c r="K44" s="1" t="s">
        <v>1035</v>
      </c>
      <c r="L44" s="1" t="s">
        <v>1036</v>
      </c>
      <c r="M44">
        <v>0</v>
      </c>
      <c r="N44">
        <v>1</v>
      </c>
      <c r="O44">
        <v>1</v>
      </c>
      <c r="P44">
        <v>1</v>
      </c>
      <c r="Q44">
        <v>1</v>
      </c>
      <c r="R44" s="1" t="s">
        <v>1031</v>
      </c>
      <c r="S44" s="1" t="s">
        <v>140</v>
      </c>
    </row>
    <row r="45" spans="1:19" x14ac:dyDescent="0.25">
      <c r="A45" s="1" t="s">
        <v>178</v>
      </c>
      <c r="B45" s="1" t="s">
        <v>179</v>
      </c>
      <c r="C45" s="1" t="s">
        <v>287</v>
      </c>
      <c r="D45" s="1" t="s">
        <v>1037</v>
      </c>
      <c r="E45" s="1" t="s">
        <v>1038</v>
      </c>
      <c r="F45" s="1" t="s">
        <v>371</v>
      </c>
      <c r="G45" s="1" t="s">
        <v>1039</v>
      </c>
      <c r="H45" s="1" t="s">
        <v>1040</v>
      </c>
      <c r="I45" s="1" t="s">
        <v>1041</v>
      </c>
      <c r="J45" s="1" t="s">
        <v>1042</v>
      </c>
      <c r="K45" s="1" t="s">
        <v>1043</v>
      </c>
      <c r="L45" s="1" t="s">
        <v>1044</v>
      </c>
      <c r="M45">
        <v>6</v>
      </c>
      <c r="N45">
        <v>0</v>
      </c>
      <c r="O45">
        <v>1</v>
      </c>
      <c r="P45">
        <v>1</v>
      </c>
      <c r="Q45">
        <v>1</v>
      </c>
      <c r="R45" s="1" t="s">
        <v>1039</v>
      </c>
      <c r="S45" s="1" t="s">
        <v>140</v>
      </c>
    </row>
    <row r="46" spans="1:19" x14ac:dyDescent="0.25">
      <c r="A46" s="1" t="s">
        <v>149</v>
      </c>
      <c r="B46" s="1" t="s">
        <v>150</v>
      </c>
      <c r="C46" s="1" t="s">
        <v>158</v>
      </c>
      <c r="D46" s="1" t="s">
        <v>667</v>
      </c>
      <c r="E46" s="1" t="s">
        <v>159</v>
      </c>
      <c r="F46" s="1" t="s">
        <v>160</v>
      </c>
      <c r="G46" s="1" t="s">
        <v>1045</v>
      </c>
      <c r="H46" s="1" t="s">
        <v>1046</v>
      </c>
      <c r="I46" s="1" t="s">
        <v>1047</v>
      </c>
      <c r="J46" s="1" t="s">
        <v>1048</v>
      </c>
      <c r="K46" s="1" t="s">
        <v>1049</v>
      </c>
      <c r="L46" s="1" t="s">
        <v>1050</v>
      </c>
      <c r="M46">
        <v>1</v>
      </c>
      <c r="N46">
        <v>1</v>
      </c>
      <c r="O46">
        <v>1</v>
      </c>
      <c r="P46">
        <v>1</v>
      </c>
      <c r="Q46">
        <v>1</v>
      </c>
      <c r="R46" s="1" t="s">
        <v>1045</v>
      </c>
      <c r="S46" s="1" t="s">
        <v>140</v>
      </c>
    </row>
    <row r="47" spans="1:19" x14ac:dyDescent="0.25">
      <c r="A47" s="1" t="s">
        <v>149</v>
      </c>
      <c r="B47" s="1" t="s">
        <v>170</v>
      </c>
      <c r="C47" s="1" t="s">
        <v>247</v>
      </c>
      <c r="D47" s="1" t="s">
        <v>711</v>
      </c>
      <c r="E47" s="1" t="s">
        <v>248</v>
      </c>
      <c r="F47" s="1" t="s">
        <v>249</v>
      </c>
      <c r="G47" s="1" t="s">
        <v>1051</v>
      </c>
      <c r="H47" s="1" t="s">
        <v>1052</v>
      </c>
      <c r="I47" s="1" t="s">
        <v>1053</v>
      </c>
      <c r="J47" s="1" t="s">
        <v>1054</v>
      </c>
      <c r="K47" s="1" t="s">
        <v>1055</v>
      </c>
      <c r="L47" s="1" t="s">
        <v>1056</v>
      </c>
      <c r="M47">
        <v>1</v>
      </c>
      <c r="N47">
        <v>1</v>
      </c>
      <c r="O47">
        <v>1</v>
      </c>
      <c r="P47">
        <v>1</v>
      </c>
      <c r="Q47">
        <v>1</v>
      </c>
      <c r="R47" s="1" t="s">
        <v>1051</v>
      </c>
      <c r="S47" s="1" t="s">
        <v>140</v>
      </c>
    </row>
    <row r="48" spans="1:19" x14ac:dyDescent="0.25">
      <c r="A48" s="1" t="s">
        <v>178</v>
      </c>
      <c r="B48" s="1" t="s">
        <v>179</v>
      </c>
      <c r="C48" s="1" t="s">
        <v>187</v>
      </c>
      <c r="D48" s="1" t="s">
        <v>679</v>
      </c>
      <c r="E48" s="1" t="s">
        <v>188</v>
      </c>
      <c r="F48" s="1" t="s">
        <v>189</v>
      </c>
      <c r="G48" s="1" t="s">
        <v>1057</v>
      </c>
      <c r="H48" s="1" t="s">
        <v>1058</v>
      </c>
      <c r="I48" s="1" t="s">
        <v>1059</v>
      </c>
      <c r="J48" s="1" t="s">
        <v>1060</v>
      </c>
      <c r="K48" s="1" t="s">
        <v>1061</v>
      </c>
      <c r="L48" s="1" t="s">
        <v>1062</v>
      </c>
      <c r="M48">
        <v>1</v>
      </c>
      <c r="N48">
        <v>1</v>
      </c>
      <c r="O48">
        <v>1</v>
      </c>
      <c r="P48">
        <v>1</v>
      </c>
      <c r="Q48">
        <v>1</v>
      </c>
      <c r="R48" s="1" t="s">
        <v>1057</v>
      </c>
      <c r="S48" s="1" t="s">
        <v>140</v>
      </c>
    </row>
    <row r="49" spans="1:19" x14ac:dyDescent="0.25">
      <c r="A49" s="1" t="s">
        <v>149</v>
      </c>
      <c r="B49" s="1" t="s">
        <v>150</v>
      </c>
      <c r="C49" s="1" t="s">
        <v>158</v>
      </c>
      <c r="D49" s="1" t="s">
        <v>670</v>
      </c>
      <c r="E49" s="1" t="s">
        <v>165</v>
      </c>
      <c r="F49" s="1" t="s">
        <v>160</v>
      </c>
      <c r="G49" s="1" t="s">
        <v>1063</v>
      </c>
      <c r="H49" s="1" t="s">
        <v>1064</v>
      </c>
      <c r="I49" s="1" t="s">
        <v>1065</v>
      </c>
      <c r="J49" s="1" t="s">
        <v>1066</v>
      </c>
      <c r="K49" s="1" t="s">
        <v>1067</v>
      </c>
      <c r="L49" s="1" t="s">
        <v>1458</v>
      </c>
      <c r="M49">
        <v>20</v>
      </c>
      <c r="N49">
        <v>0</v>
      </c>
      <c r="O49">
        <v>0</v>
      </c>
      <c r="P49">
        <v>1</v>
      </c>
      <c r="Q49">
        <v>1</v>
      </c>
      <c r="R49" s="1" t="s">
        <v>1063</v>
      </c>
      <c r="S49" s="1" t="s">
        <v>140</v>
      </c>
    </row>
    <row r="50" spans="1:19" x14ac:dyDescent="0.25">
      <c r="A50" s="1" t="s">
        <v>149</v>
      </c>
      <c r="B50" s="1" t="s">
        <v>150</v>
      </c>
      <c r="C50" s="1" t="s">
        <v>151</v>
      </c>
      <c r="D50" s="1" t="s">
        <v>664</v>
      </c>
      <c r="E50" s="1" t="s">
        <v>152</v>
      </c>
      <c r="F50" s="1" t="s">
        <v>153</v>
      </c>
      <c r="G50" s="1" t="s">
        <v>1068</v>
      </c>
      <c r="H50" s="1" t="s">
        <v>1069</v>
      </c>
      <c r="I50" s="1" t="s">
        <v>1070</v>
      </c>
      <c r="J50" s="1" t="s">
        <v>1071</v>
      </c>
      <c r="K50" s="1" t="s">
        <v>1072</v>
      </c>
      <c r="L50" s="1" t="s">
        <v>1073</v>
      </c>
      <c r="M50">
        <v>0</v>
      </c>
      <c r="N50">
        <v>1</v>
      </c>
      <c r="O50">
        <v>1</v>
      </c>
      <c r="P50">
        <v>1</v>
      </c>
      <c r="Q50">
        <v>1</v>
      </c>
      <c r="R50" s="1" t="s">
        <v>1068</v>
      </c>
      <c r="S50" s="1" t="s">
        <v>140</v>
      </c>
    </row>
    <row r="51" spans="1:19" x14ac:dyDescent="0.25">
      <c r="A51" s="1" t="s">
        <v>212</v>
      </c>
      <c r="B51" s="1" t="s">
        <v>270</v>
      </c>
      <c r="C51" s="1" t="s">
        <v>293</v>
      </c>
      <c r="D51" s="1" t="s">
        <v>736</v>
      </c>
      <c r="E51" s="1" t="s">
        <v>294</v>
      </c>
      <c r="F51" s="1" t="s">
        <v>273</v>
      </c>
      <c r="G51" s="1" t="s">
        <v>1074</v>
      </c>
      <c r="H51" s="1" t="s">
        <v>1075</v>
      </c>
      <c r="I51" s="1" t="s">
        <v>1076</v>
      </c>
      <c r="J51" s="1" t="s">
        <v>1077</v>
      </c>
      <c r="K51" s="1" t="s">
        <v>1078</v>
      </c>
      <c r="L51" s="1" t="s">
        <v>1079</v>
      </c>
      <c r="M51">
        <v>0</v>
      </c>
      <c r="N51">
        <v>1</v>
      </c>
      <c r="O51">
        <v>1</v>
      </c>
      <c r="P51">
        <v>1</v>
      </c>
      <c r="Q51">
        <v>1</v>
      </c>
      <c r="R51" s="1" t="s">
        <v>1074</v>
      </c>
      <c r="S51" s="1" t="s">
        <v>140</v>
      </c>
    </row>
    <row r="52" spans="1:19" x14ac:dyDescent="0.25">
      <c r="A52" s="1" t="s">
        <v>212</v>
      </c>
      <c r="B52" s="1" t="s">
        <v>270</v>
      </c>
      <c r="C52" s="1" t="s">
        <v>525</v>
      </c>
      <c r="D52" s="1" t="s">
        <v>883</v>
      </c>
      <c r="E52" s="1" t="s">
        <v>526</v>
      </c>
      <c r="F52" s="1" t="s">
        <v>1080</v>
      </c>
      <c r="G52" s="1" t="s">
        <v>1081</v>
      </c>
      <c r="H52" s="1" t="s">
        <v>1082</v>
      </c>
      <c r="I52" s="1" t="s">
        <v>1083</v>
      </c>
      <c r="J52" s="1" t="s">
        <v>1084</v>
      </c>
      <c r="K52" s="1" t="s">
        <v>1085</v>
      </c>
      <c r="L52" s="1" t="s">
        <v>1086</v>
      </c>
      <c r="M52">
        <v>1</v>
      </c>
      <c r="N52">
        <v>1</v>
      </c>
      <c r="O52">
        <v>1</v>
      </c>
      <c r="P52">
        <v>1</v>
      </c>
      <c r="Q52">
        <v>1</v>
      </c>
      <c r="R52" s="1" t="s">
        <v>1081</v>
      </c>
      <c r="S52" s="1" t="s">
        <v>140</v>
      </c>
    </row>
    <row r="53" spans="1:19" x14ac:dyDescent="0.25">
      <c r="A53" s="1" t="s">
        <v>178</v>
      </c>
      <c r="B53" s="1" t="s">
        <v>179</v>
      </c>
      <c r="C53" s="1" t="s">
        <v>287</v>
      </c>
      <c r="D53" s="1" t="s">
        <v>733</v>
      </c>
      <c r="E53" s="1" t="s">
        <v>288</v>
      </c>
      <c r="F53" s="1" t="s">
        <v>1087</v>
      </c>
      <c r="G53" s="1" t="s">
        <v>1088</v>
      </c>
      <c r="H53" s="1" t="s">
        <v>1089</v>
      </c>
      <c r="I53" s="1" t="s">
        <v>1090</v>
      </c>
      <c r="J53" s="1" t="s">
        <v>1091</v>
      </c>
      <c r="K53" s="1" t="s">
        <v>1092</v>
      </c>
      <c r="L53" s="1" t="s">
        <v>1093</v>
      </c>
      <c r="M53">
        <v>2</v>
      </c>
      <c r="N53">
        <v>1</v>
      </c>
      <c r="O53">
        <v>1</v>
      </c>
      <c r="P53">
        <v>1</v>
      </c>
      <c r="Q53">
        <v>1</v>
      </c>
      <c r="R53" s="1" t="s">
        <v>1088</v>
      </c>
      <c r="S53" s="1" t="s">
        <v>140</v>
      </c>
    </row>
    <row r="54" spans="1:19" x14ac:dyDescent="0.25">
      <c r="A54" s="1" t="s">
        <v>149</v>
      </c>
      <c r="B54" s="1" t="s">
        <v>170</v>
      </c>
      <c r="C54" s="1" t="s">
        <v>416</v>
      </c>
      <c r="D54" s="1" t="s">
        <v>815</v>
      </c>
      <c r="E54" s="1" t="s">
        <v>417</v>
      </c>
      <c r="F54" s="1" t="s">
        <v>418</v>
      </c>
      <c r="G54" s="1" t="s">
        <v>1094</v>
      </c>
      <c r="H54" s="1" t="s">
        <v>1095</v>
      </c>
      <c r="I54" s="1" t="s">
        <v>1096</v>
      </c>
      <c r="J54" s="1" t="s">
        <v>1097</v>
      </c>
      <c r="K54" s="1" t="s">
        <v>1098</v>
      </c>
      <c r="L54" s="1" t="s">
        <v>1099</v>
      </c>
      <c r="M54">
        <v>1</v>
      </c>
      <c r="N54">
        <v>1</v>
      </c>
      <c r="O54">
        <v>1</v>
      </c>
      <c r="P54">
        <v>1</v>
      </c>
      <c r="Q54">
        <v>1</v>
      </c>
      <c r="R54" s="1" t="s">
        <v>1094</v>
      </c>
      <c r="S54" s="1" t="s">
        <v>140</v>
      </c>
    </row>
    <row r="55" spans="1:19" x14ac:dyDescent="0.25">
      <c r="A55" s="1" t="s">
        <v>212</v>
      </c>
      <c r="B55" s="1" t="s">
        <v>270</v>
      </c>
      <c r="C55" s="1" t="s">
        <v>385</v>
      </c>
      <c r="D55" s="1" t="s">
        <v>796</v>
      </c>
      <c r="E55" s="1" t="s">
        <v>386</v>
      </c>
      <c r="F55" s="1" t="s">
        <v>387</v>
      </c>
      <c r="G55" s="1" t="s">
        <v>1100</v>
      </c>
      <c r="H55" s="1" t="s">
        <v>1101</v>
      </c>
      <c r="I55" s="1" t="s">
        <v>1102</v>
      </c>
      <c r="J55" s="1" t="s">
        <v>1103</v>
      </c>
      <c r="K55" s="1" t="s">
        <v>1104</v>
      </c>
      <c r="L55" s="1" t="s">
        <v>1105</v>
      </c>
      <c r="M55">
        <v>1</v>
      </c>
      <c r="N55">
        <v>1</v>
      </c>
      <c r="O55">
        <v>1</v>
      </c>
      <c r="P55">
        <v>1</v>
      </c>
      <c r="Q55">
        <v>1</v>
      </c>
      <c r="R55" s="1" t="s">
        <v>1100</v>
      </c>
      <c r="S55" s="1" t="s">
        <v>140</v>
      </c>
    </row>
    <row r="56" spans="1:19" x14ac:dyDescent="0.25">
      <c r="A56" s="1" t="s">
        <v>212</v>
      </c>
      <c r="B56" s="1" t="s">
        <v>270</v>
      </c>
      <c r="C56" s="1" t="s">
        <v>385</v>
      </c>
      <c r="D56" s="1" t="s">
        <v>835</v>
      </c>
      <c r="E56" s="1" t="s">
        <v>448</v>
      </c>
      <c r="F56" s="1" t="s">
        <v>387</v>
      </c>
      <c r="G56" s="1" t="s">
        <v>1106</v>
      </c>
      <c r="H56" s="1" t="s">
        <v>1101</v>
      </c>
      <c r="I56" s="1" t="s">
        <v>1107</v>
      </c>
      <c r="J56" s="1" t="s">
        <v>1108</v>
      </c>
      <c r="K56" s="1" t="s">
        <v>1109</v>
      </c>
      <c r="L56" s="1" t="s">
        <v>1110</v>
      </c>
      <c r="M56">
        <v>1</v>
      </c>
      <c r="N56">
        <v>1</v>
      </c>
      <c r="O56">
        <v>1</v>
      </c>
      <c r="P56">
        <v>1</v>
      </c>
      <c r="Q56">
        <v>1</v>
      </c>
      <c r="R56" s="1" t="s">
        <v>1106</v>
      </c>
      <c r="S56" s="1" t="s">
        <v>140</v>
      </c>
    </row>
    <row r="57" spans="1:19" x14ac:dyDescent="0.25">
      <c r="A57" s="1" t="s">
        <v>178</v>
      </c>
      <c r="B57" s="1" t="s">
        <v>179</v>
      </c>
      <c r="C57" s="1" t="s">
        <v>429</v>
      </c>
      <c r="D57" s="1" t="s">
        <v>1111</v>
      </c>
      <c r="E57" s="1" t="s">
        <v>1112</v>
      </c>
      <c r="F57" s="1" t="s">
        <v>431</v>
      </c>
      <c r="G57" s="1" t="s">
        <v>1113</v>
      </c>
      <c r="H57" s="1" t="s">
        <v>1114</v>
      </c>
      <c r="I57" s="1" t="s">
        <v>1115</v>
      </c>
      <c r="J57" s="1" t="s">
        <v>1116</v>
      </c>
      <c r="K57" s="1" t="s">
        <v>1117</v>
      </c>
      <c r="L57" s="1" t="s">
        <v>1118</v>
      </c>
      <c r="M57">
        <v>10</v>
      </c>
      <c r="N57">
        <v>0</v>
      </c>
      <c r="O57">
        <v>0</v>
      </c>
      <c r="P57">
        <v>1</v>
      </c>
      <c r="Q57">
        <v>1</v>
      </c>
      <c r="R57" s="1" t="s">
        <v>1113</v>
      </c>
      <c r="S57" s="1" t="s">
        <v>140</v>
      </c>
    </row>
    <row r="58" spans="1:19" x14ac:dyDescent="0.25">
      <c r="A58" s="1" t="s">
        <v>149</v>
      </c>
      <c r="B58" s="1" t="s">
        <v>170</v>
      </c>
      <c r="C58" s="1" t="s">
        <v>608</v>
      </c>
      <c r="D58" s="1" t="s">
        <v>937</v>
      </c>
      <c r="E58" s="1" t="s">
        <v>609</v>
      </c>
      <c r="F58" s="1" t="s">
        <v>610</v>
      </c>
      <c r="G58" s="1" t="s">
        <v>1119</v>
      </c>
      <c r="H58" s="1" t="s">
        <v>1120</v>
      </c>
      <c r="I58" s="1" t="s">
        <v>1121</v>
      </c>
      <c r="J58" s="1" t="s">
        <v>1122</v>
      </c>
      <c r="K58" s="1" t="s">
        <v>1123</v>
      </c>
      <c r="L58" s="1" t="s">
        <v>1124</v>
      </c>
      <c r="M58">
        <v>0</v>
      </c>
      <c r="N58">
        <v>1</v>
      </c>
      <c r="O58">
        <v>1</v>
      </c>
      <c r="P58">
        <v>1</v>
      </c>
      <c r="Q58">
        <v>1</v>
      </c>
      <c r="R58" s="1" t="s">
        <v>1119</v>
      </c>
      <c r="S58" s="1" t="s">
        <v>140</v>
      </c>
    </row>
    <row r="59" spans="1:19" x14ac:dyDescent="0.25">
      <c r="A59" s="1" t="s">
        <v>149</v>
      </c>
      <c r="B59" s="1" t="s">
        <v>150</v>
      </c>
      <c r="C59" s="1" t="s">
        <v>158</v>
      </c>
      <c r="D59" s="1" t="s">
        <v>667</v>
      </c>
      <c r="E59" s="1" t="s">
        <v>159</v>
      </c>
      <c r="F59" s="1" t="s">
        <v>160</v>
      </c>
      <c r="G59" s="1" t="s">
        <v>1125</v>
      </c>
      <c r="H59" s="1" t="s">
        <v>1126</v>
      </c>
      <c r="I59" s="1" t="s">
        <v>1127</v>
      </c>
      <c r="J59" s="1" t="s">
        <v>1128</v>
      </c>
      <c r="K59" s="1" t="s">
        <v>1129</v>
      </c>
      <c r="L59" s="1" t="s">
        <v>1130</v>
      </c>
      <c r="M59">
        <v>0</v>
      </c>
      <c r="N59">
        <v>1</v>
      </c>
      <c r="O59">
        <v>1</v>
      </c>
      <c r="P59">
        <v>1</v>
      </c>
      <c r="Q59">
        <v>1</v>
      </c>
      <c r="R59" s="1" t="s">
        <v>1125</v>
      </c>
      <c r="S59" s="1" t="s">
        <v>140</v>
      </c>
    </row>
    <row r="60" spans="1:19" x14ac:dyDescent="0.25">
      <c r="A60" s="1" t="s">
        <v>149</v>
      </c>
      <c r="B60" s="1" t="s">
        <v>170</v>
      </c>
      <c r="C60" s="1" t="s">
        <v>192</v>
      </c>
      <c r="D60" s="1" t="s">
        <v>702</v>
      </c>
      <c r="E60" s="1" t="s">
        <v>233</v>
      </c>
      <c r="F60" s="1" t="s">
        <v>194</v>
      </c>
      <c r="G60" s="1" t="s">
        <v>1131</v>
      </c>
      <c r="H60" s="1" t="s">
        <v>1132</v>
      </c>
      <c r="I60" s="1" t="s">
        <v>1133</v>
      </c>
      <c r="J60" s="1" t="s">
        <v>1134</v>
      </c>
      <c r="K60" s="1" t="s">
        <v>1135</v>
      </c>
      <c r="L60" s="1" t="s">
        <v>1136</v>
      </c>
      <c r="M60">
        <v>0</v>
      </c>
      <c r="N60">
        <v>1</v>
      </c>
      <c r="O60">
        <v>1</v>
      </c>
      <c r="P60">
        <v>1</v>
      </c>
      <c r="Q60">
        <v>1</v>
      </c>
      <c r="R60" s="1" t="s">
        <v>1131</v>
      </c>
      <c r="S60" s="1" t="s">
        <v>140</v>
      </c>
    </row>
    <row r="61" spans="1:19" x14ac:dyDescent="0.25">
      <c r="A61" s="1" t="s">
        <v>149</v>
      </c>
      <c r="B61" s="1" t="s">
        <v>150</v>
      </c>
      <c r="C61" s="1" t="s">
        <v>264</v>
      </c>
      <c r="D61" s="1" t="s">
        <v>948</v>
      </c>
      <c r="E61" s="1" t="s">
        <v>624</v>
      </c>
      <c r="F61" s="1" t="s">
        <v>498</v>
      </c>
      <c r="G61" s="1" t="s">
        <v>1137</v>
      </c>
      <c r="H61" s="1" t="s">
        <v>1138</v>
      </c>
      <c r="I61" s="1" t="s">
        <v>1139</v>
      </c>
      <c r="J61" s="1" t="s">
        <v>1140</v>
      </c>
      <c r="K61" s="1" t="s">
        <v>1141</v>
      </c>
      <c r="L61" s="1" t="s">
        <v>1142</v>
      </c>
      <c r="M61">
        <v>0</v>
      </c>
      <c r="N61">
        <v>1</v>
      </c>
      <c r="O61">
        <v>1</v>
      </c>
      <c r="P61">
        <v>1</v>
      </c>
      <c r="Q61">
        <v>1</v>
      </c>
      <c r="R61" s="1" t="s">
        <v>1137</v>
      </c>
      <c r="S61" s="1" t="s">
        <v>140</v>
      </c>
    </row>
    <row r="62" spans="1:19" x14ac:dyDescent="0.25">
      <c r="A62" s="1" t="s">
        <v>149</v>
      </c>
      <c r="B62" s="1" t="s">
        <v>150</v>
      </c>
      <c r="C62" s="1" t="s">
        <v>151</v>
      </c>
      <c r="D62" s="1" t="s">
        <v>695</v>
      </c>
      <c r="E62" s="1" t="s">
        <v>220</v>
      </c>
      <c r="F62" s="1" t="s">
        <v>153</v>
      </c>
      <c r="G62" s="1" t="s">
        <v>1143</v>
      </c>
      <c r="H62" s="1" t="s">
        <v>1144</v>
      </c>
      <c r="I62" s="1" t="s">
        <v>1145</v>
      </c>
      <c r="J62" s="1" t="s">
        <v>1146</v>
      </c>
      <c r="K62" s="1" t="s">
        <v>1147</v>
      </c>
      <c r="L62" s="1" t="s">
        <v>1148</v>
      </c>
      <c r="M62">
        <v>0</v>
      </c>
      <c r="N62">
        <v>1</v>
      </c>
      <c r="O62">
        <v>1</v>
      </c>
      <c r="P62">
        <v>1</v>
      </c>
      <c r="Q62">
        <v>1</v>
      </c>
      <c r="R62" s="1" t="s">
        <v>1143</v>
      </c>
      <c r="S62" s="1" t="s">
        <v>140</v>
      </c>
    </row>
    <row r="63" spans="1:19" x14ac:dyDescent="0.25">
      <c r="A63" s="1" t="s">
        <v>149</v>
      </c>
      <c r="B63" s="1" t="s">
        <v>150</v>
      </c>
      <c r="C63" s="1" t="s">
        <v>151</v>
      </c>
      <c r="D63" s="1" t="s">
        <v>664</v>
      </c>
      <c r="E63" s="1" t="s">
        <v>152</v>
      </c>
      <c r="F63" s="1" t="s">
        <v>153</v>
      </c>
      <c r="G63" s="1" t="s">
        <v>481</v>
      </c>
      <c r="H63" s="1" t="s">
        <v>482</v>
      </c>
      <c r="I63" s="1" t="s">
        <v>28</v>
      </c>
      <c r="J63" s="1" t="s">
        <v>1149</v>
      </c>
      <c r="K63" s="1" t="s">
        <v>1150</v>
      </c>
      <c r="L63" s="1" t="s">
        <v>1151</v>
      </c>
      <c r="M63">
        <v>0</v>
      </c>
      <c r="N63">
        <v>1</v>
      </c>
      <c r="O63">
        <v>1</v>
      </c>
      <c r="P63">
        <v>1</v>
      </c>
      <c r="Q63">
        <v>1</v>
      </c>
      <c r="R63" s="1" t="s">
        <v>481</v>
      </c>
      <c r="S63" s="1" t="s">
        <v>140</v>
      </c>
    </row>
    <row r="64" spans="1:19" x14ac:dyDescent="0.25">
      <c r="A64" s="1" t="s">
        <v>149</v>
      </c>
      <c r="B64" s="1" t="s">
        <v>170</v>
      </c>
      <c r="C64" s="1" t="s">
        <v>247</v>
      </c>
      <c r="D64" s="1" t="s">
        <v>857</v>
      </c>
      <c r="E64" s="1" t="s">
        <v>484</v>
      </c>
      <c r="F64" s="1" t="s">
        <v>249</v>
      </c>
      <c r="G64" s="1" t="s">
        <v>1152</v>
      </c>
      <c r="H64" s="1" t="s">
        <v>1153</v>
      </c>
      <c r="I64" s="1" t="s">
        <v>1154</v>
      </c>
      <c r="J64" s="1" t="s">
        <v>1155</v>
      </c>
      <c r="K64" s="1" t="s">
        <v>1156</v>
      </c>
      <c r="L64" s="1" t="s">
        <v>1157</v>
      </c>
      <c r="M64">
        <v>1</v>
      </c>
      <c r="N64">
        <v>1</v>
      </c>
      <c r="O64">
        <v>1</v>
      </c>
      <c r="P64">
        <v>1</v>
      </c>
      <c r="Q64">
        <v>1</v>
      </c>
      <c r="R64" s="1" t="s">
        <v>1152</v>
      </c>
      <c r="S64" s="1" t="s">
        <v>140</v>
      </c>
    </row>
    <row r="65" spans="1:19" x14ac:dyDescent="0.25">
      <c r="A65" s="1" t="s">
        <v>149</v>
      </c>
      <c r="B65" s="1" t="s">
        <v>150</v>
      </c>
      <c r="C65" s="1" t="s">
        <v>264</v>
      </c>
      <c r="D65" s="1" t="s">
        <v>753</v>
      </c>
      <c r="E65" s="1" t="s">
        <v>321</v>
      </c>
      <c r="F65" s="1" t="s">
        <v>266</v>
      </c>
      <c r="G65" s="1" t="s">
        <v>1158</v>
      </c>
      <c r="H65" s="1" t="s">
        <v>1159</v>
      </c>
      <c r="I65" s="1" t="s">
        <v>1160</v>
      </c>
      <c r="J65" s="1" t="s">
        <v>1161</v>
      </c>
      <c r="K65" s="1" t="s">
        <v>1162</v>
      </c>
      <c r="L65" s="1" t="s">
        <v>1163</v>
      </c>
      <c r="M65">
        <v>6</v>
      </c>
      <c r="N65">
        <v>0</v>
      </c>
      <c r="O65">
        <v>1</v>
      </c>
      <c r="P65">
        <v>1</v>
      </c>
      <c r="Q65">
        <v>1</v>
      </c>
      <c r="R65" s="1" t="s">
        <v>1158</v>
      </c>
      <c r="S65" s="1" t="s">
        <v>140</v>
      </c>
    </row>
    <row r="66" spans="1:19" x14ac:dyDescent="0.25">
      <c r="A66" s="1" t="s">
        <v>149</v>
      </c>
      <c r="B66" s="1" t="s">
        <v>170</v>
      </c>
      <c r="C66" s="1" t="s">
        <v>192</v>
      </c>
      <c r="D66" s="1" t="s">
        <v>682</v>
      </c>
      <c r="E66" s="1" t="s">
        <v>193</v>
      </c>
      <c r="F66" s="1" t="s">
        <v>194</v>
      </c>
      <c r="G66" s="1" t="s">
        <v>1164</v>
      </c>
      <c r="H66" s="1" t="s">
        <v>1165</v>
      </c>
      <c r="I66" s="1" t="s">
        <v>1166</v>
      </c>
      <c r="J66" s="1" t="s">
        <v>1167</v>
      </c>
      <c r="K66" s="1" t="s">
        <v>1168</v>
      </c>
      <c r="L66" s="1" t="s">
        <v>1459</v>
      </c>
      <c r="M66">
        <v>34</v>
      </c>
      <c r="N66">
        <v>0</v>
      </c>
      <c r="O66">
        <v>0</v>
      </c>
      <c r="P66">
        <v>1</v>
      </c>
      <c r="Q66">
        <v>1</v>
      </c>
      <c r="R66" s="1" t="s">
        <v>1164</v>
      </c>
      <c r="S66" s="1" t="s">
        <v>140</v>
      </c>
    </row>
    <row r="67" spans="1:19" x14ac:dyDescent="0.25">
      <c r="A67" s="1" t="s">
        <v>178</v>
      </c>
      <c r="B67" s="1" t="s">
        <v>315</v>
      </c>
      <c r="C67" s="1" t="s">
        <v>316</v>
      </c>
      <c r="D67" s="1" t="s">
        <v>750</v>
      </c>
      <c r="E67" s="1" t="s">
        <v>317</v>
      </c>
      <c r="F67" s="1" t="s">
        <v>318</v>
      </c>
      <c r="G67" s="1" t="s">
        <v>1169</v>
      </c>
      <c r="H67" s="1" t="s">
        <v>1170</v>
      </c>
      <c r="I67" s="1" t="s">
        <v>1171</v>
      </c>
      <c r="J67" s="1" t="s">
        <v>1172</v>
      </c>
      <c r="K67" s="1" t="s">
        <v>1173</v>
      </c>
      <c r="L67" s="1" t="s">
        <v>1174</v>
      </c>
      <c r="M67">
        <v>5</v>
      </c>
      <c r="N67">
        <v>0</v>
      </c>
      <c r="O67">
        <v>1</v>
      </c>
      <c r="P67">
        <v>1</v>
      </c>
      <c r="Q67">
        <v>1</v>
      </c>
      <c r="R67" s="1" t="s">
        <v>1169</v>
      </c>
      <c r="S67" s="1" t="s">
        <v>140</v>
      </c>
    </row>
    <row r="68" spans="1:19" x14ac:dyDescent="0.25">
      <c r="A68" s="1" t="s">
        <v>149</v>
      </c>
      <c r="B68" s="1" t="s">
        <v>170</v>
      </c>
      <c r="C68" s="1" t="s">
        <v>416</v>
      </c>
      <c r="D68" s="1" t="s">
        <v>828</v>
      </c>
      <c r="E68" s="1" t="s">
        <v>438</v>
      </c>
      <c r="F68" s="1" t="s">
        <v>418</v>
      </c>
      <c r="G68" s="1" t="s">
        <v>1175</v>
      </c>
      <c r="H68" s="1" t="s">
        <v>1176</v>
      </c>
      <c r="I68" s="1" t="s">
        <v>1177</v>
      </c>
      <c r="J68" s="1" t="s">
        <v>1178</v>
      </c>
      <c r="K68" s="1" t="s">
        <v>1179</v>
      </c>
      <c r="L68" s="1" t="s">
        <v>1180</v>
      </c>
      <c r="M68">
        <v>0</v>
      </c>
      <c r="N68">
        <v>1</v>
      </c>
      <c r="O68">
        <v>1</v>
      </c>
      <c r="P68">
        <v>1</v>
      </c>
      <c r="Q68">
        <v>1</v>
      </c>
      <c r="R68" s="1" t="s">
        <v>1175</v>
      </c>
      <c r="S68" s="1" t="s">
        <v>140</v>
      </c>
    </row>
    <row r="69" spans="1:19" x14ac:dyDescent="0.25">
      <c r="A69" s="1" t="s">
        <v>178</v>
      </c>
      <c r="B69" s="1" t="s">
        <v>179</v>
      </c>
      <c r="C69" s="1" t="s">
        <v>187</v>
      </c>
      <c r="D69" s="1" t="s">
        <v>730</v>
      </c>
      <c r="E69" s="1" t="s">
        <v>283</v>
      </c>
      <c r="F69" s="1" t="s">
        <v>189</v>
      </c>
      <c r="G69" s="1" t="s">
        <v>1460</v>
      </c>
      <c r="H69" s="1" t="s">
        <v>1181</v>
      </c>
      <c r="I69" s="1" t="s">
        <v>1182</v>
      </c>
      <c r="J69" s="1" t="s">
        <v>1183</v>
      </c>
      <c r="K69" s="1" t="s">
        <v>1184</v>
      </c>
      <c r="L69" s="1" t="s">
        <v>1185</v>
      </c>
      <c r="M69">
        <v>1</v>
      </c>
      <c r="N69">
        <v>1</v>
      </c>
      <c r="O69">
        <v>1</v>
      </c>
      <c r="P69">
        <v>1</v>
      </c>
      <c r="Q69">
        <v>1</v>
      </c>
      <c r="R69" s="1" t="s">
        <v>1460</v>
      </c>
      <c r="S69" s="1" t="s">
        <v>140</v>
      </c>
    </row>
    <row r="70" spans="1:19" x14ac:dyDescent="0.25">
      <c r="A70" s="1" t="s">
        <v>178</v>
      </c>
      <c r="B70" s="1" t="s">
        <v>315</v>
      </c>
      <c r="C70" s="1" t="s">
        <v>316</v>
      </c>
      <c r="D70" s="1" t="s">
        <v>807</v>
      </c>
      <c r="E70" s="1" t="s">
        <v>403</v>
      </c>
      <c r="F70" s="1" t="s">
        <v>318</v>
      </c>
      <c r="G70" s="1" t="s">
        <v>1186</v>
      </c>
      <c r="H70" s="1" t="s">
        <v>1170</v>
      </c>
      <c r="I70" s="1" t="s">
        <v>1171</v>
      </c>
      <c r="J70" s="1" t="s">
        <v>1187</v>
      </c>
      <c r="K70" s="1" t="s">
        <v>1188</v>
      </c>
      <c r="L70" s="1" t="s">
        <v>1189</v>
      </c>
      <c r="M70">
        <v>1</v>
      </c>
      <c r="N70">
        <v>1</v>
      </c>
      <c r="O70">
        <v>1</v>
      </c>
      <c r="P70">
        <v>1</v>
      </c>
      <c r="Q70">
        <v>1</v>
      </c>
      <c r="R70" s="1" t="s">
        <v>1186</v>
      </c>
      <c r="S70" s="1" t="s">
        <v>140</v>
      </c>
    </row>
    <row r="71" spans="1:19" x14ac:dyDescent="0.25">
      <c r="A71" s="1" t="s">
        <v>149</v>
      </c>
      <c r="B71" s="1" t="s">
        <v>170</v>
      </c>
      <c r="C71" s="1" t="s">
        <v>171</v>
      </c>
      <c r="D71" s="1" t="s">
        <v>951</v>
      </c>
      <c r="E71" s="1" t="s">
        <v>627</v>
      </c>
      <c r="F71" s="1" t="s">
        <v>173</v>
      </c>
      <c r="G71" s="1" t="s">
        <v>1190</v>
      </c>
      <c r="H71" s="1" t="s">
        <v>1191</v>
      </c>
      <c r="I71" s="1" t="s">
        <v>1192</v>
      </c>
      <c r="J71" s="1" t="s">
        <v>1193</v>
      </c>
      <c r="K71" s="1" t="s">
        <v>1194</v>
      </c>
      <c r="L71" s="1" t="s">
        <v>1195</v>
      </c>
      <c r="M71">
        <v>2</v>
      </c>
      <c r="N71">
        <v>1</v>
      </c>
      <c r="O71">
        <v>1</v>
      </c>
      <c r="P71">
        <v>1</v>
      </c>
      <c r="Q71">
        <v>1</v>
      </c>
      <c r="R71" s="1" t="s">
        <v>1190</v>
      </c>
      <c r="S71" s="1" t="s">
        <v>140</v>
      </c>
    </row>
    <row r="72" spans="1:19" x14ac:dyDescent="0.25">
      <c r="A72" s="1" t="s">
        <v>149</v>
      </c>
      <c r="B72" s="1" t="s">
        <v>170</v>
      </c>
      <c r="C72" s="1" t="s">
        <v>192</v>
      </c>
      <c r="D72" s="1" t="s">
        <v>702</v>
      </c>
      <c r="E72" s="1" t="s">
        <v>233</v>
      </c>
      <c r="F72" s="1" t="s">
        <v>194</v>
      </c>
      <c r="G72" s="1" t="s">
        <v>1196</v>
      </c>
      <c r="H72" s="1" t="s">
        <v>155</v>
      </c>
      <c r="I72" s="1" t="s">
        <v>1197</v>
      </c>
      <c r="J72" s="1" t="s">
        <v>1198</v>
      </c>
      <c r="K72" s="1" t="s">
        <v>1199</v>
      </c>
      <c r="L72" s="1" t="s">
        <v>1200</v>
      </c>
      <c r="M72">
        <v>0</v>
      </c>
      <c r="N72">
        <v>1</v>
      </c>
      <c r="O72">
        <v>1</v>
      </c>
      <c r="P72">
        <v>1</v>
      </c>
      <c r="Q72">
        <v>1</v>
      </c>
      <c r="R72" s="1" t="s">
        <v>1196</v>
      </c>
      <c r="S72" s="1" t="s">
        <v>140</v>
      </c>
    </row>
    <row r="73" spans="1:19" x14ac:dyDescent="0.25">
      <c r="A73" s="1" t="s">
        <v>149</v>
      </c>
      <c r="B73" s="1" t="s">
        <v>150</v>
      </c>
      <c r="C73" s="1" t="s">
        <v>158</v>
      </c>
      <c r="D73" s="1" t="s">
        <v>670</v>
      </c>
      <c r="E73" s="1" t="s">
        <v>165</v>
      </c>
      <c r="F73" s="1" t="s">
        <v>160</v>
      </c>
      <c r="G73" s="1" t="s">
        <v>1201</v>
      </c>
      <c r="H73" s="1" t="s">
        <v>1202</v>
      </c>
      <c r="I73" s="1" t="s">
        <v>1203</v>
      </c>
      <c r="J73" s="1" t="s">
        <v>1204</v>
      </c>
      <c r="K73" s="1" t="s">
        <v>1205</v>
      </c>
      <c r="L73" s="1" t="s">
        <v>1206</v>
      </c>
      <c r="M73">
        <v>6</v>
      </c>
      <c r="N73">
        <v>0</v>
      </c>
      <c r="O73">
        <v>1</v>
      </c>
      <c r="P73">
        <v>1</v>
      </c>
      <c r="Q73">
        <v>1</v>
      </c>
      <c r="R73" s="1" t="s">
        <v>1201</v>
      </c>
      <c r="S73" s="1" t="s">
        <v>140</v>
      </c>
    </row>
    <row r="74" spans="1:19" x14ac:dyDescent="0.25">
      <c r="A74" s="1" t="s">
        <v>149</v>
      </c>
      <c r="B74" s="1" t="s">
        <v>150</v>
      </c>
      <c r="C74" s="1" t="s">
        <v>151</v>
      </c>
      <c r="D74" s="1" t="s">
        <v>695</v>
      </c>
      <c r="E74" s="1" t="s">
        <v>220</v>
      </c>
      <c r="F74" s="1" t="s">
        <v>153</v>
      </c>
      <c r="G74" s="1" t="s">
        <v>1207</v>
      </c>
      <c r="H74" s="1" t="s">
        <v>1208</v>
      </c>
      <c r="I74" s="1" t="s">
        <v>1209</v>
      </c>
      <c r="J74" s="1" t="s">
        <v>1210</v>
      </c>
      <c r="K74" s="1" t="s">
        <v>1211</v>
      </c>
      <c r="L74" s="1" t="s">
        <v>1212</v>
      </c>
      <c r="M74">
        <v>0</v>
      </c>
      <c r="N74">
        <v>1</v>
      </c>
      <c r="O74">
        <v>1</v>
      </c>
      <c r="P74">
        <v>1</v>
      </c>
      <c r="Q74">
        <v>1</v>
      </c>
      <c r="R74" s="1" t="s">
        <v>1207</v>
      </c>
      <c r="S74" s="1" t="s">
        <v>140</v>
      </c>
    </row>
    <row r="75" spans="1:19" x14ac:dyDescent="0.25">
      <c r="A75" s="1" t="s">
        <v>141</v>
      </c>
      <c r="B75" s="1" t="s">
        <v>142</v>
      </c>
      <c r="C75" s="1" t="s">
        <v>143</v>
      </c>
      <c r="D75" s="1" t="s">
        <v>661</v>
      </c>
      <c r="E75" s="1" t="s">
        <v>144</v>
      </c>
      <c r="F75" s="1" t="s">
        <v>145</v>
      </c>
      <c r="G75" s="1" t="s">
        <v>146</v>
      </c>
      <c r="H75" s="1" t="s">
        <v>147</v>
      </c>
      <c r="I75" s="1" t="s">
        <v>119</v>
      </c>
      <c r="J75" s="1" t="s">
        <v>148</v>
      </c>
      <c r="K75" s="1" t="s">
        <v>662</v>
      </c>
      <c r="L75" s="1" t="s">
        <v>663</v>
      </c>
      <c r="M75">
        <v>1</v>
      </c>
      <c r="N75">
        <v>1</v>
      </c>
      <c r="O75">
        <v>1</v>
      </c>
      <c r="P75">
        <v>1</v>
      </c>
      <c r="Q75">
        <v>1</v>
      </c>
      <c r="R75" s="1" t="s">
        <v>146</v>
      </c>
      <c r="S75" s="1" t="s">
        <v>140</v>
      </c>
    </row>
    <row r="76" spans="1:19" x14ac:dyDescent="0.25">
      <c r="A76" s="1" t="s">
        <v>149</v>
      </c>
      <c r="B76" s="1" t="s">
        <v>150</v>
      </c>
      <c r="C76" s="1" t="s">
        <v>151</v>
      </c>
      <c r="D76" s="1" t="s">
        <v>664</v>
      </c>
      <c r="E76" s="1" t="s">
        <v>152</v>
      </c>
      <c r="F76" s="1" t="s">
        <v>153</v>
      </c>
      <c r="G76" s="1" t="s">
        <v>154</v>
      </c>
      <c r="H76" s="1" t="s">
        <v>155</v>
      </c>
      <c r="I76" s="1" t="s">
        <v>156</v>
      </c>
      <c r="J76" s="1" t="s">
        <v>157</v>
      </c>
      <c r="K76" s="1" t="s">
        <v>665</v>
      </c>
      <c r="L76" s="1" t="s">
        <v>666</v>
      </c>
      <c r="M76">
        <v>0</v>
      </c>
      <c r="N76">
        <v>1</v>
      </c>
      <c r="O76">
        <v>1</v>
      </c>
      <c r="P76">
        <v>1</v>
      </c>
      <c r="Q76">
        <v>1</v>
      </c>
      <c r="R76" s="1" t="s">
        <v>154</v>
      </c>
      <c r="S76" s="1" t="s">
        <v>140</v>
      </c>
    </row>
    <row r="77" spans="1:19" x14ac:dyDescent="0.25">
      <c r="A77" s="1" t="s">
        <v>149</v>
      </c>
      <c r="B77" s="1" t="s">
        <v>150</v>
      </c>
      <c r="C77" s="1" t="s">
        <v>158</v>
      </c>
      <c r="D77" s="1" t="s">
        <v>667</v>
      </c>
      <c r="E77" s="1" t="s">
        <v>159</v>
      </c>
      <c r="F77" s="1" t="s">
        <v>160</v>
      </c>
      <c r="G77" s="1" t="s">
        <v>161</v>
      </c>
      <c r="H77" s="1" t="s">
        <v>162</v>
      </c>
      <c r="I77" s="1" t="s">
        <v>163</v>
      </c>
      <c r="J77" s="1" t="s">
        <v>164</v>
      </c>
      <c r="K77" s="1" t="s">
        <v>668</v>
      </c>
      <c r="L77" s="1" t="s">
        <v>669</v>
      </c>
      <c r="M77">
        <v>0</v>
      </c>
      <c r="N77">
        <v>1</v>
      </c>
      <c r="O77">
        <v>1</v>
      </c>
      <c r="P77">
        <v>1</v>
      </c>
      <c r="Q77">
        <v>1</v>
      </c>
      <c r="R77" s="1" t="s">
        <v>161</v>
      </c>
      <c r="S77" s="1" t="s">
        <v>140</v>
      </c>
    </row>
    <row r="78" spans="1:19" x14ac:dyDescent="0.25">
      <c r="A78" s="1" t="s">
        <v>149</v>
      </c>
      <c r="B78" s="1" t="s">
        <v>150</v>
      </c>
      <c r="C78" s="1" t="s">
        <v>158</v>
      </c>
      <c r="D78" s="1" t="s">
        <v>670</v>
      </c>
      <c r="E78" s="1" t="s">
        <v>165</v>
      </c>
      <c r="F78" s="1" t="s">
        <v>160</v>
      </c>
      <c r="G78" s="1" t="s">
        <v>166</v>
      </c>
      <c r="H78" s="1" t="s">
        <v>167</v>
      </c>
      <c r="I78" s="1" t="s">
        <v>168</v>
      </c>
      <c r="J78" s="1" t="s">
        <v>169</v>
      </c>
      <c r="K78" s="1" t="s">
        <v>671</v>
      </c>
      <c r="L78" s="1" t="s">
        <v>672</v>
      </c>
      <c r="M78">
        <v>0</v>
      </c>
      <c r="N78">
        <v>1</v>
      </c>
      <c r="O78">
        <v>1</v>
      </c>
      <c r="P78">
        <v>1</v>
      </c>
      <c r="Q78">
        <v>1</v>
      </c>
      <c r="R78" s="1" t="s">
        <v>166</v>
      </c>
      <c r="S78" s="1" t="s">
        <v>140</v>
      </c>
    </row>
    <row r="79" spans="1:19" x14ac:dyDescent="0.25">
      <c r="A79" s="1" t="s">
        <v>149</v>
      </c>
      <c r="B79" s="1" t="s">
        <v>170</v>
      </c>
      <c r="C79" s="1" t="s">
        <v>171</v>
      </c>
      <c r="D79" s="1" t="s">
        <v>673</v>
      </c>
      <c r="E79" s="1" t="s">
        <v>172</v>
      </c>
      <c r="F79" s="1" t="s">
        <v>173</v>
      </c>
      <c r="G79" s="1" t="s">
        <v>174</v>
      </c>
      <c r="H79" s="1" t="s">
        <v>175</v>
      </c>
      <c r="I79" s="1" t="s">
        <v>176</v>
      </c>
      <c r="J79" s="1" t="s">
        <v>177</v>
      </c>
      <c r="K79" s="1" t="s">
        <v>674</v>
      </c>
      <c r="L79" s="1" t="s">
        <v>675</v>
      </c>
      <c r="M79">
        <v>4</v>
      </c>
      <c r="N79">
        <v>0</v>
      </c>
      <c r="O79">
        <v>1</v>
      </c>
      <c r="P79">
        <v>1</v>
      </c>
      <c r="Q79">
        <v>1</v>
      </c>
      <c r="R79" s="1" t="s">
        <v>174</v>
      </c>
      <c r="S79" s="1" t="s">
        <v>140</v>
      </c>
    </row>
    <row r="80" spans="1:19" x14ac:dyDescent="0.25">
      <c r="A80" s="1" t="s">
        <v>178</v>
      </c>
      <c r="B80" s="1" t="s">
        <v>179</v>
      </c>
      <c r="C80" s="1" t="s">
        <v>180</v>
      </c>
      <c r="D80" s="1" t="s">
        <v>676</v>
      </c>
      <c r="E80" s="1" t="s">
        <v>181</v>
      </c>
      <c r="F80" s="1" t="s">
        <v>182</v>
      </c>
      <c r="G80" s="1" t="s">
        <v>183</v>
      </c>
      <c r="H80" s="1" t="s">
        <v>184</v>
      </c>
      <c r="I80" s="1" t="s">
        <v>185</v>
      </c>
      <c r="J80" s="1" t="s">
        <v>186</v>
      </c>
      <c r="K80" s="1" t="s">
        <v>677</v>
      </c>
      <c r="L80" s="1" t="s">
        <v>678</v>
      </c>
      <c r="M80">
        <v>0</v>
      </c>
      <c r="N80">
        <v>1</v>
      </c>
      <c r="O80">
        <v>1</v>
      </c>
      <c r="P80">
        <v>1</v>
      </c>
      <c r="Q80">
        <v>1</v>
      </c>
      <c r="R80" s="1" t="s">
        <v>183</v>
      </c>
      <c r="S80" s="1" t="s">
        <v>140</v>
      </c>
    </row>
    <row r="81" spans="1:19" x14ac:dyDescent="0.25">
      <c r="A81" s="1" t="s">
        <v>178</v>
      </c>
      <c r="B81" s="1" t="s">
        <v>179</v>
      </c>
      <c r="C81" s="1" t="s">
        <v>187</v>
      </c>
      <c r="D81" s="1" t="s">
        <v>679</v>
      </c>
      <c r="E81" s="1" t="s">
        <v>188</v>
      </c>
      <c r="F81" s="1" t="s">
        <v>189</v>
      </c>
      <c r="G81" s="1" t="s">
        <v>1213</v>
      </c>
      <c r="H81" s="1" t="s">
        <v>190</v>
      </c>
      <c r="I81" s="1" t="s">
        <v>117</v>
      </c>
      <c r="J81" s="1" t="s">
        <v>191</v>
      </c>
      <c r="K81" s="1" t="s">
        <v>680</v>
      </c>
      <c r="L81" s="1" t="s">
        <v>681</v>
      </c>
      <c r="M81">
        <v>1</v>
      </c>
      <c r="N81">
        <v>1</v>
      </c>
      <c r="O81">
        <v>1</v>
      </c>
      <c r="P81">
        <v>1</v>
      </c>
      <c r="Q81">
        <v>1</v>
      </c>
      <c r="R81" s="1" t="s">
        <v>1213</v>
      </c>
      <c r="S81" s="1" t="s">
        <v>140</v>
      </c>
    </row>
    <row r="82" spans="1:19" x14ac:dyDescent="0.25">
      <c r="A82" s="1" t="s">
        <v>149</v>
      </c>
      <c r="B82" s="1" t="s">
        <v>170</v>
      </c>
      <c r="C82" s="1" t="s">
        <v>192</v>
      </c>
      <c r="D82" s="1" t="s">
        <v>682</v>
      </c>
      <c r="E82" s="1" t="s">
        <v>193</v>
      </c>
      <c r="F82" s="1" t="s">
        <v>194</v>
      </c>
      <c r="G82" s="1" t="s">
        <v>195</v>
      </c>
      <c r="H82" s="1" t="s">
        <v>196</v>
      </c>
      <c r="I82" s="1" t="s">
        <v>27</v>
      </c>
      <c r="J82" s="1" t="s">
        <v>197</v>
      </c>
      <c r="K82" s="1" t="s">
        <v>683</v>
      </c>
      <c r="L82" s="1" t="s">
        <v>1214</v>
      </c>
      <c r="M82">
        <v>9</v>
      </c>
      <c r="N82">
        <v>0</v>
      </c>
      <c r="O82">
        <v>0</v>
      </c>
      <c r="P82">
        <v>1</v>
      </c>
      <c r="Q82">
        <v>1</v>
      </c>
      <c r="R82" s="1" t="s">
        <v>195</v>
      </c>
      <c r="S82" s="1" t="s">
        <v>140</v>
      </c>
    </row>
    <row r="83" spans="1:19" x14ac:dyDescent="0.25">
      <c r="A83" s="1" t="s">
        <v>178</v>
      </c>
      <c r="B83" s="1" t="s">
        <v>179</v>
      </c>
      <c r="C83" s="1" t="s">
        <v>180</v>
      </c>
      <c r="D83" s="1" t="s">
        <v>684</v>
      </c>
      <c r="E83" s="1" t="s">
        <v>199</v>
      </c>
      <c r="F83" s="1" t="s">
        <v>182</v>
      </c>
      <c r="G83" s="1" t="s">
        <v>200</v>
      </c>
      <c r="H83" s="1" t="s">
        <v>201</v>
      </c>
      <c r="I83" s="1" t="s">
        <v>112</v>
      </c>
      <c r="J83" s="1" t="s">
        <v>202</v>
      </c>
      <c r="K83" s="1" t="s">
        <v>685</v>
      </c>
      <c r="L83" s="1" t="s">
        <v>686</v>
      </c>
      <c r="M83">
        <v>0</v>
      </c>
      <c r="N83">
        <v>1</v>
      </c>
      <c r="O83">
        <v>1</v>
      </c>
      <c r="P83">
        <v>1</v>
      </c>
      <c r="Q83">
        <v>1</v>
      </c>
      <c r="R83" s="1" t="s">
        <v>200</v>
      </c>
      <c r="S83" s="1" t="s">
        <v>140</v>
      </c>
    </row>
    <row r="84" spans="1:19" x14ac:dyDescent="0.25">
      <c r="A84" s="1" t="s">
        <v>178</v>
      </c>
      <c r="B84" s="1" t="s">
        <v>179</v>
      </c>
      <c r="C84" s="1" t="s">
        <v>203</v>
      </c>
      <c r="D84" s="1" t="s">
        <v>687</v>
      </c>
      <c r="E84" s="1" t="s">
        <v>204</v>
      </c>
      <c r="F84" s="1" t="s">
        <v>205</v>
      </c>
      <c r="G84" s="1" t="s">
        <v>206</v>
      </c>
      <c r="H84" s="1" t="s">
        <v>207</v>
      </c>
      <c r="I84" s="1" t="s">
        <v>111</v>
      </c>
      <c r="J84" s="1" t="s">
        <v>208</v>
      </c>
      <c r="K84" s="1" t="s">
        <v>688</v>
      </c>
      <c r="L84" s="1" t="s">
        <v>689</v>
      </c>
      <c r="M84">
        <v>1</v>
      </c>
      <c r="N84">
        <v>1</v>
      </c>
      <c r="O84">
        <v>1</v>
      </c>
      <c r="P84">
        <v>1</v>
      </c>
      <c r="Q84">
        <v>1</v>
      </c>
      <c r="R84" s="1" t="s">
        <v>206</v>
      </c>
      <c r="S84" s="1" t="s">
        <v>140</v>
      </c>
    </row>
    <row r="85" spans="1:19" x14ac:dyDescent="0.25">
      <c r="A85" s="1" t="s">
        <v>149</v>
      </c>
      <c r="B85" s="1" t="s">
        <v>150</v>
      </c>
      <c r="C85" s="1" t="s">
        <v>158</v>
      </c>
      <c r="D85" s="1" t="s">
        <v>667</v>
      </c>
      <c r="E85" s="1" t="s">
        <v>159</v>
      </c>
      <c r="F85" s="1" t="s">
        <v>160</v>
      </c>
      <c r="G85" s="1" t="s">
        <v>209</v>
      </c>
      <c r="H85" s="1" t="s">
        <v>210</v>
      </c>
      <c r="I85" s="1" t="s">
        <v>103</v>
      </c>
      <c r="J85" s="1" t="s">
        <v>211</v>
      </c>
      <c r="K85" s="1" t="s">
        <v>690</v>
      </c>
      <c r="L85" s="1" t="s">
        <v>691</v>
      </c>
      <c r="M85">
        <v>1</v>
      </c>
      <c r="N85">
        <v>1</v>
      </c>
      <c r="O85">
        <v>1</v>
      </c>
      <c r="P85">
        <v>1</v>
      </c>
      <c r="Q85">
        <v>1</v>
      </c>
      <c r="R85" s="1" t="s">
        <v>209</v>
      </c>
      <c r="S85" s="1" t="s">
        <v>140</v>
      </c>
    </row>
    <row r="86" spans="1:19" x14ac:dyDescent="0.25">
      <c r="A86" s="1" t="s">
        <v>212</v>
      </c>
      <c r="B86" s="1" t="s">
        <v>213</v>
      </c>
      <c r="C86" s="1" t="s">
        <v>214</v>
      </c>
      <c r="D86" s="1" t="s">
        <v>692</v>
      </c>
      <c r="E86" s="1" t="s">
        <v>215</v>
      </c>
      <c r="F86" s="1" t="s">
        <v>216</v>
      </c>
      <c r="G86" s="1" t="s">
        <v>217</v>
      </c>
      <c r="H86" s="1" t="s">
        <v>218</v>
      </c>
      <c r="I86" s="1" t="s">
        <v>110</v>
      </c>
      <c r="J86" s="1" t="s">
        <v>219</v>
      </c>
      <c r="K86" s="1" t="s">
        <v>693</v>
      </c>
      <c r="L86" s="1" t="s">
        <v>694</v>
      </c>
      <c r="M86">
        <v>0</v>
      </c>
      <c r="N86">
        <v>1</v>
      </c>
      <c r="O86">
        <v>1</v>
      </c>
      <c r="P86">
        <v>1</v>
      </c>
      <c r="Q86">
        <v>1</v>
      </c>
      <c r="R86" s="1" t="s">
        <v>217</v>
      </c>
      <c r="S86" s="1" t="s">
        <v>140</v>
      </c>
    </row>
    <row r="87" spans="1:19" x14ac:dyDescent="0.25">
      <c r="A87" s="1" t="s">
        <v>149</v>
      </c>
      <c r="B87" s="1" t="s">
        <v>150</v>
      </c>
      <c r="C87" s="1" t="s">
        <v>151</v>
      </c>
      <c r="D87" s="1" t="s">
        <v>695</v>
      </c>
      <c r="E87" s="1" t="s">
        <v>220</v>
      </c>
      <c r="F87" s="1" t="s">
        <v>153</v>
      </c>
      <c r="G87" s="1" t="s">
        <v>221</v>
      </c>
      <c r="H87" s="1" t="s">
        <v>222</v>
      </c>
      <c r="I87" s="1" t="s">
        <v>106</v>
      </c>
      <c r="J87" s="1" t="s">
        <v>223</v>
      </c>
      <c r="K87" s="1" t="s">
        <v>696</v>
      </c>
      <c r="L87" s="1" t="s">
        <v>697</v>
      </c>
      <c r="M87">
        <v>0</v>
      </c>
      <c r="N87">
        <v>1</v>
      </c>
      <c r="O87">
        <v>1</v>
      </c>
      <c r="P87">
        <v>1</v>
      </c>
      <c r="Q87">
        <v>1</v>
      </c>
      <c r="R87" s="1" t="s">
        <v>221</v>
      </c>
      <c r="S87" s="1" t="s">
        <v>140</v>
      </c>
    </row>
    <row r="88" spans="1:19" x14ac:dyDescent="0.25">
      <c r="A88" s="1" t="s">
        <v>149</v>
      </c>
      <c r="B88" s="1" t="s">
        <v>150</v>
      </c>
      <c r="C88" s="1" t="s">
        <v>158</v>
      </c>
      <c r="D88" s="1" t="s">
        <v>670</v>
      </c>
      <c r="E88" s="1" t="s">
        <v>165</v>
      </c>
      <c r="F88" s="1" t="s">
        <v>160</v>
      </c>
      <c r="G88" s="1" t="s">
        <v>224</v>
      </c>
      <c r="H88" s="1" t="s">
        <v>225</v>
      </c>
      <c r="I88" s="1" t="s">
        <v>92</v>
      </c>
      <c r="J88" s="1" t="s">
        <v>226</v>
      </c>
      <c r="K88" s="1" t="s">
        <v>698</v>
      </c>
      <c r="L88" s="1" t="s">
        <v>699</v>
      </c>
      <c r="M88">
        <v>6</v>
      </c>
      <c r="N88">
        <v>0</v>
      </c>
      <c r="O88">
        <v>1</v>
      </c>
      <c r="P88">
        <v>1</v>
      </c>
      <c r="Q88">
        <v>1</v>
      </c>
      <c r="R88" s="1" t="s">
        <v>224</v>
      </c>
      <c r="S88" s="1" t="s">
        <v>140</v>
      </c>
    </row>
    <row r="89" spans="1:19" x14ac:dyDescent="0.25">
      <c r="A89" s="1" t="s">
        <v>149</v>
      </c>
      <c r="B89" s="1" t="s">
        <v>150</v>
      </c>
      <c r="C89" s="1" t="s">
        <v>158</v>
      </c>
      <c r="D89" s="1" t="s">
        <v>670</v>
      </c>
      <c r="E89" s="1" t="s">
        <v>165</v>
      </c>
      <c r="F89" s="1" t="s">
        <v>160</v>
      </c>
      <c r="G89" s="1" t="s">
        <v>230</v>
      </c>
      <c r="H89" s="1" t="s">
        <v>231</v>
      </c>
      <c r="I89" s="1" t="s">
        <v>62</v>
      </c>
      <c r="J89" s="1" t="s">
        <v>232</v>
      </c>
      <c r="K89" s="1" t="s">
        <v>700</v>
      </c>
      <c r="L89" s="1" t="s">
        <v>1215</v>
      </c>
      <c r="M89">
        <v>19</v>
      </c>
      <c r="N89">
        <v>0</v>
      </c>
      <c r="O89">
        <v>0</v>
      </c>
      <c r="P89">
        <v>1</v>
      </c>
      <c r="Q89">
        <v>1</v>
      </c>
      <c r="R89" s="1" t="s">
        <v>230</v>
      </c>
      <c r="S89" s="1" t="s">
        <v>140</v>
      </c>
    </row>
    <row r="90" spans="1:19" x14ac:dyDescent="0.25">
      <c r="A90" s="1" t="s">
        <v>149</v>
      </c>
      <c r="B90" s="1" t="s">
        <v>150</v>
      </c>
      <c r="C90" s="1" t="s">
        <v>158</v>
      </c>
      <c r="D90" s="1" t="s">
        <v>667</v>
      </c>
      <c r="E90" s="1" t="s">
        <v>159</v>
      </c>
      <c r="F90" s="1" t="s">
        <v>160</v>
      </c>
      <c r="G90" s="1" t="s">
        <v>227</v>
      </c>
      <c r="H90" s="1" t="s">
        <v>228</v>
      </c>
      <c r="I90" s="1" t="s">
        <v>37</v>
      </c>
      <c r="J90" s="1" t="s">
        <v>229</v>
      </c>
      <c r="K90" s="1" t="s">
        <v>700</v>
      </c>
      <c r="L90" s="1" t="s">
        <v>701</v>
      </c>
      <c r="M90">
        <v>0</v>
      </c>
      <c r="N90">
        <v>1</v>
      </c>
      <c r="O90">
        <v>1</v>
      </c>
      <c r="P90">
        <v>1</v>
      </c>
      <c r="Q90">
        <v>1</v>
      </c>
      <c r="R90" s="1" t="s">
        <v>227</v>
      </c>
      <c r="S90" s="1" t="s">
        <v>140</v>
      </c>
    </row>
    <row r="91" spans="1:19" x14ac:dyDescent="0.25">
      <c r="A91" s="1" t="s">
        <v>149</v>
      </c>
      <c r="B91" s="1" t="s">
        <v>170</v>
      </c>
      <c r="C91" s="1" t="s">
        <v>192</v>
      </c>
      <c r="D91" s="1" t="s">
        <v>702</v>
      </c>
      <c r="E91" s="1" t="s">
        <v>233</v>
      </c>
      <c r="F91" s="1" t="s">
        <v>194</v>
      </c>
      <c r="G91" s="1" t="s">
        <v>234</v>
      </c>
      <c r="H91" s="1" t="s">
        <v>235</v>
      </c>
      <c r="I91" s="1" t="s">
        <v>72</v>
      </c>
      <c r="J91" s="1" t="s">
        <v>236</v>
      </c>
      <c r="K91" s="1" t="s">
        <v>700</v>
      </c>
      <c r="L91" s="1" t="s">
        <v>703</v>
      </c>
      <c r="M91">
        <v>0</v>
      </c>
      <c r="N91">
        <v>1</v>
      </c>
      <c r="O91">
        <v>1</v>
      </c>
      <c r="P91">
        <v>1</v>
      </c>
      <c r="Q91">
        <v>1</v>
      </c>
      <c r="R91" s="1" t="s">
        <v>234</v>
      </c>
      <c r="S91" s="1" t="s">
        <v>140</v>
      </c>
    </row>
    <row r="92" spans="1:19" x14ac:dyDescent="0.25">
      <c r="A92" s="1" t="s">
        <v>149</v>
      </c>
      <c r="B92" s="1" t="s">
        <v>150</v>
      </c>
      <c r="C92" s="1" t="s">
        <v>151</v>
      </c>
      <c r="D92" s="1" t="s">
        <v>664</v>
      </c>
      <c r="E92" s="1" t="s">
        <v>152</v>
      </c>
      <c r="F92" s="1" t="s">
        <v>153</v>
      </c>
      <c r="G92" s="1" t="s">
        <v>237</v>
      </c>
      <c r="H92" s="1" t="s">
        <v>238</v>
      </c>
      <c r="I92" s="1" t="s">
        <v>63</v>
      </c>
      <c r="J92" s="1" t="s">
        <v>239</v>
      </c>
      <c r="K92" s="1" t="s">
        <v>704</v>
      </c>
      <c r="L92" s="1" t="s">
        <v>705</v>
      </c>
      <c r="M92">
        <v>0</v>
      </c>
      <c r="N92">
        <v>1</v>
      </c>
      <c r="O92">
        <v>1</v>
      </c>
      <c r="P92">
        <v>1</v>
      </c>
      <c r="Q92">
        <v>1</v>
      </c>
      <c r="R92" s="1" t="s">
        <v>237</v>
      </c>
      <c r="S92" s="1" t="s">
        <v>140</v>
      </c>
    </row>
    <row r="93" spans="1:19" x14ac:dyDescent="0.25">
      <c r="A93" s="1" t="s">
        <v>149</v>
      </c>
      <c r="B93" s="1" t="s">
        <v>150</v>
      </c>
      <c r="C93" s="1" t="s">
        <v>158</v>
      </c>
      <c r="D93" s="1" t="s">
        <v>667</v>
      </c>
      <c r="E93" s="1" t="s">
        <v>159</v>
      </c>
      <c r="F93" s="1" t="s">
        <v>160</v>
      </c>
      <c r="G93" s="1" t="s">
        <v>240</v>
      </c>
      <c r="H93" s="1" t="s">
        <v>241</v>
      </c>
      <c r="I93" s="1" t="s">
        <v>109</v>
      </c>
      <c r="J93" s="1" t="s">
        <v>242</v>
      </c>
      <c r="K93" s="1" t="s">
        <v>706</v>
      </c>
      <c r="L93" s="1" t="s">
        <v>707</v>
      </c>
      <c r="M93">
        <v>0</v>
      </c>
      <c r="N93">
        <v>1</v>
      </c>
      <c r="O93">
        <v>1</v>
      </c>
      <c r="P93">
        <v>1</v>
      </c>
      <c r="Q93">
        <v>1</v>
      </c>
      <c r="R93" s="1" t="s">
        <v>240</v>
      </c>
      <c r="S93" s="1" t="s">
        <v>140</v>
      </c>
    </row>
    <row r="94" spans="1:19" x14ac:dyDescent="0.25">
      <c r="A94" s="1" t="s">
        <v>178</v>
      </c>
      <c r="B94" s="1" t="s">
        <v>179</v>
      </c>
      <c r="C94" s="1" t="s">
        <v>203</v>
      </c>
      <c r="D94" s="1" t="s">
        <v>708</v>
      </c>
      <c r="E94" s="1" t="s">
        <v>243</v>
      </c>
      <c r="F94" s="1" t="s">
        <v>205</v>
      </c>
      <c r="G94" s="1" t="s">
        <v>244</v>
      </c>
      <c r="H94" s="1" t="s">
        <v>245</v>
      </c>
      <c r="I94" s="1" t="s">
        <v>108</v>
      </c>
      <c r="J94" s="1" t="s">
        <v>246</v>
      </c>
      <c r="K94" s="1" t="s">
        <v>709</v>
      </c>
      <c r="L94" s="1" t="s">
        <v>710</v>
      </c>
      <c r="M94">
        <v>0</v>
      </c>
      <c r="N94">
        <v>1</v>
      </c>
      <c r="O94">
        <v>1</v>
      </c>
      <c r="P94">
        <v>1</v>
      </c>
      <c r="Q94">
        <v>1</v>
      </c>
      <c r="R94" s="1" t="s">
        <v>244</v>
      </c>
      <c r="S94" s="1" t="s">
        <v>140</v>
      </c>
    </row>
    <row r="95" spans="1:19" x14ac:dyDescent="0.25">
      <c r="A95" s="1" t="s">
        <v>149</v>
      </c>
      <c r="B95" s="1" t="s">
        <v>170</v>
      </c>
      <c r="C95" s="1" t="s">
        <v>247</v>
      </c>
      <c r="D95" s="1" t="s">
        <v>711</v>
      </c>
      <c r="E95" s="1" t="s">
        <v>248</v>
      </c>
      <c r="F95" s="1" t="s">
        <v>249</v>
      </c>
      <c r="G95" s="1" t="s">
        <v>250</v>
      </c>
      <c r="H95" s="1" t="s">
        <v>251</v>
      </c>
      <c r="I95" s="1" t="s">
        <v>125</v>
      </c>
      <c r="J95" s="1" t="s">
        <v>252</v>
      </c>
      <c r="K95" s="1" t="s">
        <v>712</v>
      </c>
      <c r="L95" s="1" t="s">
        <v>713</v>
      </c>
      <c r="M95">
        <v>2</v>
      </c>
      <c r="N95">
        <v>1</v>
      </c>
      <c r="O95">
        <v>1</v>
      </c>
      <c r="P95">
        <v>1</v>
      </c>
      <c r="Q95">
        <v>1</v>
      </c>
      <c r="R95" s="1" t="s">
        <v>250</v>
      </c>
      <c r="S95" s="1" t="s">
        <v>140</v>
      </c>
    </row>
    <row r="96" spans="1:19" x14ac:dyDescent="0.25">
      <c r="A96" s="1" t="s">
        <v>149</v>
      </c>
      <c r="B96" s="1" t="s">
        <v>170</v>
      </c>
      <c r="C96" s="1" t="s">
        <v>192</v>
      </c>
      <c r="D96" s="1" t="s">
        <v>714</v>
      </c>
      <c r="E96" s="1" t="s">
        <v>253</v>
      </c>
      <c r="F96" s="1" t="s">
        <v>254</v>
      </c>
      <c r="G96" s="1" t="s">
        <v>255</v>
      </c>
      <c r="H96" s="1" t="s">
        <v>256</v>
      </c>
      <c r="I96" s="1" t="s">
        <v>107</v>
      </c>
      <c r="J96" s="1" t="s">
        <v>257</v>
      </c>
      <c r="K96" s="1" t="s">
        <v>715</v>
      </c>
      <c r="L96" s="1" t="s">
        <v>716</v>
      </c>
      <c r="M96">
        <v>1</v>
      </c>
      <c r="N96">
        <v>1</v>
      </c>
      <c r="O96">
        <v>1</v>
      </c>
      <c r="P96">
        <v>1</v>
      </c>
      <c r="Q96">
        <v>1</v>
      </c>
      <c r="R96" s="1" t="s">
        <v>255</v>
      </c>
      <c r="S96" s="1" t="s">
        <v>140</v>
      </c>
    </row>
    <row r="97" spans="1:19" x14ac:dyDescent="0.25">
      <c r="A97" s="1" t="s">
        <v>141</v>
      </c>
      <c r="B97" s="1" t="s">
        <v>142</v>
      </c>
      <c r="C97" s="1" t="s">
        <v>258</v>
      </c>
      <c r="D97" s="1" t="s">
        <v>717</v>
      </c>
      <c r="E97" s="1" t="s">
        <v>259</v>
      </c>
      <c r="F97" s="1" t="s">
        <v>260</v>
      </c>
      <c r="G97" s="1" t="s">
        <v>261</v>
      </c>
      <c r="H97" s="1" t="s">
        <v>262</v>
      </c>
      <c r="I97" s="1" t="s">
        <v>114</v>
      </c>
      <c r="J97" s="1" t="s">
        <v>263</v>
      </c>
      <c r="K97" s="1" t="s">
        <v>718</v>
      </c>
      <c r="L97" s="1" t="s">
        <v>719</v>
      </c>
      <c r="M97">
        <v>2</v>
      </c>
      <c r="N97">
        <v>1</v>
      </c>
      <c r="O97">
        <v>1</v>
      </c>
      <c r="P97">
        <v>1</v>
      </c>
      <c r="Q97">
        <v>1</v>
      </c>
      <c r="R97" s="1" t="s">
        <v>261</v>
      </c>
      <c r="S97" s="1" t="s">
        <v>140</v>
      </c>
    </row>
    <row r="98" spans="1:19" x14ac:dyDescent="0.25">
      <c r="A98" s="1" t="s">
        <v>149</v>
      </c>
      <c r="B98" s="1" t="s">
        <v>150</v>
      </c>
      <c r="C98" s="1" t="s">
        <v>264</v>
      </c>
      <c r="D98" s="1" t="s">
        <v>720</v>
      </c>
      <c r="E98" s="1" t="s">
        <v>265</v>
      </c>
      <c r="F98" s="1" t="s">
        <v>266</v>
      </c>
      <c r="G98" s="1" t="s">
        <v>267</v>
      </c>
      <c r="H98" s="1" t="s">
        <v>268</v>
      </c>
      <c r="I98" s="1" t="s">
        <v>105</v>
      </c>
      <c r="J98" s="1" t="s">
        <v>269</v>
      </c>
      <c r="K98" s="1" t="s">
        <v>721</v>
      </c>
      <c r="L98" s="1" t="s">
        <v>722</v>
      </c>
      <c r="M98">
        <v>0</v>
      </c>
      <c r="N98">
        <v>1</v>
      </c>
      <c r="O98">
        <v>1</v>
      </c>
      <c r="P98">
        <v>1</v>
      </c>
      <c r="Q98">
        <v>1</v>
      </c>
      <c r="R98" s="1" t="s">
        <v>267</v>
      </c>
      <c r="S98" s="1" t="s">
        <v>140</v>
      </c>
    </row>
    <row r="99" spans="1:19" x14ac:dyDescent="0.25">
      <c r="A99" s="1" t="s">
        <v>212</v>
      </c>
      <c r="B99" s="1" t="s">
        <v>270</v>
      </c>
      <c r="C99" s="1" t="s">
        <v>271</v>
      </c>
      <c r="D99" s="1" t="s">
        <v>723</v>
      </c>
      <c r="E99" s="1" t="s">
        <v>272</v>
      </c>
      <c r="F99" s="1" t="s">
        <v>273</v>
      </c>
      <c r="G99" s="1" t="s">
        <v>274</v>
      </c>
      <c r="H99" s="1" t="s">
        <v>275</v>
      </c>
      <c r="I99" s="1" t="s">
        <v>123</v>
      </c>
      <c r="J99" s="1" t="s">
        <v>276</v>
      </c>
      <c r="K99" s="1" t="s">
        <v>724</v>
      </c>
      <c r="L99" s="1" t="s">
        <v>725</v>
      </c>
      <c r="M99">
        <v>1</v>
      </c>
      <c r="N99">
        <v>1</v>
      </c>
      <c r="O99">
        <v>1</v>
      </c>
      <c r="P99">
        <v>1</v>
      </c>
      <c r="Q99">
        <v>1</v>
      </c>
      <c r="R99" s="1" t="s">
        <v>274</v>
      </c>
      <c r="S99" s="1" t="s">
        <v>140</v>
      </c>
    </row>
    <row r="100" spans="1:19" x14ac:dyDescent="0.25">
      <c r="A100" s="1" t="s">
        <v>149</v>
      </c>
      <c r="B100" s="1" t="s">
        <v>150</v>
      </c>
      <c r="C100" s="1" t="s">
        <v>151</v>
      </c>
      <c r="D100" s="1" t="s">
        <v>695</v>
      </c>
      <c r="E100" s="1" t="s">
        <v>220</v>
      </c>
      <c r="F100" s="1" t="s">
        <v>153</v>
      </c>
      <c r="G100" s="1" t="s">
        <v>277</v>
      </c>
      <c r="H100" s="1" t="s">
        <v>278</v>
      </c>
      <c r="I100" s="1" t="s">
        <v>71</v>
      </c>
      <c r="J100" s="1" t="s">
        <v>279</v>
      </c>
      <c r="K100" s="1" t="s">
        <v>726</v>
      </c>
      <c r="L100" s="1" t="s">
        <v>727</v>
      </c>
      <c r="M100">
        <v>3</v>
      </c>
      <c r="N100">
        <v>1</v>
      </c>
      <c r="O100">
        <v>1</v>
      </c>
      <c r="P100">
        <v>1</v>
      </c>
      <c r="Q100">
        <v>1</v>
      </c>
      <c r="R100" s="1" t="s">
        <v>277</v>
      </c>
      <c r="S100" s="1" t="s">
        <v>140</v>
      </c>
    </row>
    <row r="101" spans="1:19" x14ac:dyDescent="0.25">
      <c r="A101" s="1" t="s">
        <v>149</v>
      </c>
      <c r="B101" s="1" t="s">
        <v>150</v>
      </c>
      <c r="C101" s="1" t="s">
        <v>151</v>
      </c>
      <c r="D101" s="1" t="s">
        <v>664</v>
      </c>
      <c r="E101" s="1" t="s">
        <v>152</v>
      </c>
      <c r="F101" s="1" t="s">
        <v>153</v>
      </c>
      <c r="G101" s="1" t="s">
        <v>280</v>
      </c>
      <c r="H101" s="1" t="s">
        <v>281</v>
      </c>
      <c r="I101" s="1" t="s">
        <v>124</v>
      </c>
      <c r="J101" s="1" t="s">
        <v>282</v>
      </c>
      <c r="K101" s="1" t="s">
        <v>728</v>
      </c>
      <c r="L101" s="1" t="s">
        <v>729</v>
      </c>
      <c r="M101">
        <v>1</v>
      </c>
      <c r="N101">
        <v>1</v>
      </c>
      <c r="O101">
        <v>1</v>
      </c>
      <c r="P101">
        <v>1</v>
      </c>
      <c r="Q101">
        <v>1</v>
      </c>
      <c r="R101" s="1" t="s">
        <v>280</v>
      </c>
      <c r="S101" s="1" t="s">
        <v>140</v>
      </c>
    </row>
    <row r="102" spans="1:19" x14ac:dyDescent="0.25">
      <c r="A102" s="1" t="s">
        <v>178</v>
      </c>
      <c r="B102" s="1" t="s">
        <v>179</v>
      </c>
      <c r="C102" s="1" t="s">
        <v>187</v>
      </c>
      <c r="D102" s="1" t="s">
        <v>730</v>
      </c>
      <c r="E102" s="1" t="s">
        <v>283</v>
      </c>
      <c r="F102" s="1" t="s">
        <v>189</v>
      </c>
      <c r="G102" s="1" t="s">
        <v>284</v>
      </c>
      <c r="H102" s="1" t="s">
        <v>285</v>
      </c>
      <c r="I102" s="1" t="s">
        <v>118</v>
      </c>
      <c r="J102" s="1" t="s">
        <v>286</v>
      </c>
      <c r="K102" s="1" t="s">
        <v>731</v>
      </c>
      <c r="L102" s="1" t="s">
        <v>732</v>
      </c>
      <c r="M102">
        <v>0</v>
      </c>
      <c r="N102">
        <v>1</v>
      </c>
      <c r="O102">
        <v>1</v>
      </c>
      <c r="P102">
        <v>1</v>
      </c>
      <c r="Q102">
        <v>1</v>
      </c>
      <c r="R102" s="1" t="s">
        <v>284</v>
      </c>
      <c r="S102" s="1" t="s">
        <v>140</v>
      </c>
    </row>
    <row r="103" spans="1:19" x14ac:dyDescent="0.25">
      <c r="A103" s="1" t="s">
        <v>178</v>
      </c>
      <c r="B103" s="1" t="s">
        <v>179</v>
      </c>
      <c r="C103" s="1" t="s">
        <v>287</v>
      </c>
      <c r="D103" s="1" t="s">
        <v>733</v>
      </c>
      <c r="E103" s="1" t="s">
        <v>288</v>
      </c>
      <c r="F103" s="1" t="s">
        <v>289</v>
      </c>
      <c r="G103" s="1" t="s">
        <v>290</v>
      </c>
      <c r="H103" s="1" t="s">
        <v>291</v>
      </c>
      <c r="I103" s="1" t="s">
        <v>113</v>
      </c>
      <c r="J103" s="1" t="s">
        <v>292</v>
      </c>
      <c r="K103" s="1" t="s">
        <v>734</v>
      </c>
      <c r="L103" s="1" t="s">
        <v>735</v>
      </c>
      <c r="M103">
        <v>2</v>
      </c>
      <c r="N103">
        <v>1</v>
      </c>
      <c r="O103">
        <v>1</v>
      </c>
      <c r="P103">
        <v>1</v>
      </c>
      <c r="Q103">
        <v>1</v>
      </c>
      <c r="R103" s="1" t="s">
        <v>290</v>
      </c>
      <c r="S103" s="1" t="s">
        <v>140</v>
      </c>
    </row>
    <row r="104" spans="1:19" x14ac:dyDescent="0.25">
      <c r="A104" s="1" t="s">
        <v>212</v>
      </c>
      <c r="B104" s="1" t="s">
        <v>270</v>
      </c>
      <c r="C104" s="1" t="s">
        <v>293</v>
      </c>
      <c r="D104" s="1" t="s">
        <v>736</v>
      </c>
      <c r="E104" s="1" t="s">
        <v>294</v>
      </c>
      <c r="F104" s="1" t="s">
        <v>273</v>
      </c>
      <c r="G104" s="1" t="s">
        <v>295</v>
      </c>
      <c r="H104" s="1" t="s">
        <v>296</v>
      </c>
      <c r="I104" s="1" t="s">
        <v>104</v>
      </c>
      <c r="J104" s="1" t="s">
        <v>297</v>
      </c>
      <c r="K104" s="1" t="s">
        <v>737</v>
      </c>
      <c r="L104" s="1" t="s">
        <v>738</v>
      </c>
      <c r="M104">
        <v>0</v>
      </c>
      <c r="N104">
        <v>1</v>
      </c>
      <c r="O104">
        <v>1</v>
      </c>
      <c r="P104">
        <v>1</v>
      </c>
      <c r="Q104">
        <v>1</v>
      </c>
      <c r="R104" s="1" t="s">
        <v>295</v>
      </c>
      <c r="S104" s="1" t="s">
        <v>140</v>
      </c>
    </row>
    <row r="105" spans="1:19" x14ac:dyDescent="0.25">
      <c r="A105" s="1" t="s">
        <v>149</v>
      </c>
      <c r="B105" s="1" t="s">
        <v>150</v>
      </c>
      <c r="C105" s="1" t="s">
        <v>151</v>
      </c>
      <c r="D105" s="1" t="s">
        <v>695</v>
      </c>
      <c r="E105" s="1" t="s">
        <v>220</v>
      </c>
      <c r="F105" s="1" t="s">
        <v>153</v>
      </c>
      <c r="G105" s="1" t="s">
        <v>298</v>
      </c>
      <c r="H105" s="1" t="s">
        <v>299</v>
      </c>
      <c r="I105" s="1" t="s">
        <v>116</v>
      </c>
      <c r="J105" s="1" t="s">
        <v>300</v>
      </c>
      <c r="K105" s="1" t="s">
        <v>739</v>
      </c>
      <c r="L105" s="1" t="s">
        <v>740</v>
      </c>
      <c r="M105">
        <v>1</v>
      </c>
      <c r="N105">
        <v>1</v>
      </c>
      <c r="O105">
        <v>1</v>
      </c>
      <c r="P105">
        <v>1</v>
      </c>
      <c r="Q105">
        <v>1</v>
      </c>
      <c r="R105" s="1" t="s">
        <v>298</v>
      </c>
      <c r="S105" s="1" t="s">
        <v>140</v>
      </c>
    </row>
    <row r="106" spans="1:19" x14ac:dyDescent="0.25">
      <c r="A106" s="1" t="s">
        <v>141</v>
      </c>
      <c r="B106" s="1" t="s">
        <v>142</v>
      </c>
      <c r="C106" s="1" t="s">
        <v>143</v>
      </c>
      <c r="D106" s="1" t="s">
        <v>741</v>
      </c>
      <c r="E106" s="1" t="s">
        <v>301</v>
      </c>
      <c r="F106" s="1" t="s">
        <v>145</v>
      </c>
      <c r="G106" s="1" t="s">
        <v>302</v>
      </c>
      <c r="H106" s="1" t="s">
        <v>303</v>
      </c>
      <c r="I106" s="1" t="s">
        <v>97</v>
      </c>
      <c r="J106" s="1" t="s">
        <v>304</v>
      </c>
      <c r="K106" s="1" t="s">
        <v>742</v>
      </c>
      <c r="L106" s="1" t="s">
        <v>743</v>
      </c>
      <c r="M106">
        <v>5</v>
      </c>
      <c r="N106">
        <v>0</v>
      </c>
      <c r="O106">
        <v>1</v>
      </c>
      <c r="P106">
        <v>1</v>
      </c>
      <c r="Q106">
        <v>1</v>
      </c>
      <c r="R106" s="1" t="s">
        <v>302</v>
      </c>
      <c r="S106" s="1" t="s">
        <v>140</v>
      </c>
    </row>
    <row r="107" spans="1:19" x14ac:dyDescent="0.25">
      <c r="A107" s="1" t="s">
        <v>212</v>
      </c>
      <c r="B107" s="1" t="s">
        <v>213</v>
      </c>
      <c r="C107" s="1" t="s">
        <v>214</v>
      </c>
      <c r="D107" s="1" t="s">
        <v>744</v>
      </c>
      <c r="E107" s="1" t="s">
        <v>305</v>
      </c>
      <c r="F107" s="1" t="s">
        <v>216</v>
      </c>
      <c r="G107" s="1" t="s">
        <v>502</v>
      </c>
      <c r="H107" s="1" t="s">
        <v>307</v>
      </c>
      <c r="I107" s="1" t="s">
        <v>44</v>
      </c>
      <c r="J107" s="1" t="s">
        <v>308</v>
      </c>
      <c r="K107" s="1" t="s">
        <v>745</v>
      </c>
      <c r="L107" s="1" t="s">
        <v>198</v>
      </c>
      <c r="M107" t="s">
        <v>198</v>
      </c>
      <c r="N107">
        <v>0</v>
      </c>
      <c r="O107">
        <v>0</v>
      </c>
      <c r="P107">
        <v>1</v>
      </c>
      <c r="Q107">
        <v>0</v>
      </c>
      <c r="R107" s="1" t="s">
        <v>198</v>
      </c>
      <c r="S107" s="1" t="s">
        <v>140</v>
      </c>
    </row>
    <row r="108" spans="1:19" x14ac:dyDescent="0.25">
      <c r="A108" s="1" t="s">
        <v>178</v>
      </c>
      <c r="B108" s="1" t="s">
        <v>179</v>
      </c>
      <c r="C108" s="1" t="s">
        <v>203</v>
      </c>
      <c r="D108" s="1" t="s">
        <v>687</v>
      </c>
      <c r="E108" s="1" t="s">
        <v>204</v>
      </c>
      <c r="F108" s="1" t="s">
        <v>205</v>
      </c>
      <c r="G108" s="1" t="s">
        <v>309</v>
      </c>
      <c r="H108" s="1" t="s">
        <v>310</v>
      </c>
      <c r="I108" s="1" t="s">
        <v>102</v>
      </c>
      <c r="J108" s="1" t="s">
        <v>311</v>
      </c>
      <c r="K108" s="1" t="s">
        <v>746</v>
      </c>
      <c r="L108" s="1" t="s">
        <v>747</v>
      </c>
      <c r="M108">
        <v>7</v>
      </c>
      <c r="N108">
        <v>0</v>
      </c>
      <c r="O108">
        <v>1</v>
      </c>
      <c r="P108">
        <v>1</v>
      </c>
      <c r="Q108">
        <v>1</v>
      </c>
      <c r="R108" s="1" t="s">
        <v>309</v>
      </c>
      <c r="S108" s="1" t="s">
        <v>140</v>
      </c>
    </row>
    <row r="109" spans="1:19" x14ac:dyDescent="0.25">
      <c r="A109" s="1" t="s">
        <v>178</v>
      </c>
      <c r="B109" s="1" t="s">
        <v>179</v>
      </c>
      <c r="C109" s="1" t="s">
        <v>203</v>
      </c>
      <c r="D109" s="1" t="s">
        <v>708</v>
      </c>
      <c r="E109" s="1" t="s">
        <v>243</v>
      </c>
      <c r="F109" s="1" t="s">
        <v>205</v>
      </c>
      <c r="G109" s="1" t="s">
        <v>312</v>
      </c>
      <c r="H109" s="1" t="s">
        <v>313</v>
      </c>
      <c r="I109" s="1" t="s">
        <v>115</v>
      </c>
      <c r="J109" s="1" t="s">
        <v>314</v>
      </c>
      <c r="K109" s="1" t="s">
        <v>748</v>
      </c>
      <c r="L109" s="1" t="s">
        <v>749</v>
      </c>
      <c r="M109">
        <v>6</v>
      </c>
      <c r="N109">
        <v>0</v>
      </c>
      <c r="O109">
        <v>1</v>
      </c>
      <c r="P109">
        <v>1</v>
      </c>
      <c r="Q109">
        <v>1</v>
      </c>
      <c r="R109" s="1" t="s">
        <v>312</v>
      </c>
      <c r="S109" s="1" t="s">
        <v>140</v>
      </c>
    </row>
    <row r="110" spans="1:19" x14ac:dyDescent="0.25">
      <c r="A110" s="1" t="s">
        <v>178</v>
      </c>
      <c r="B110" s="1" t="s">
        <v>315</v>
      </c>
      <c r="C110" s="1" t="s">
        <v>316</v>
      </c>
      <c r="D110" s="1" t="s">
        <v>750</v>
      </c>
      <c r="E110" s="1" t="s">
        <v>317</v>
      </c>
      <c r="F110" s="1" t="s">
        <v>318</v>
      </c>
      <c r="G110" s="1" t="s">
        <v>319</v>
      </c>
      <c r="H110" s="1" t="s">
        <v>210</v>
      </c>
      <c r="I110" s="1" t="s">
        <v>77</v>
      </c>
      <c r="J110" s="1" t="s">
        <v>320</v>
      </c>
      <c r="K110" s="1" t="s">
        <v>751</v>
      </c>
      <c r="L110" s="1" t="s">
        <v>752</v>
      </c>
      <c r="M110">
        <v>8</v>
      </c>
      <c r="N110">
        <v>0</v>
      </c>
      <c r="O110">
        <v>0</v>
      </c>
      <c r="P110">
        <v>1</v>
      </c>
      <c r="Q110">
        <v>1</v>
      </c>
      <c r="R110" s="1" t="s">
        <v>319</v>
      </c>
      <c r="S110" s="1" t="s">
        <v>140</v>
      </c>
    </row>
    <row r="111" spans="1:19" x14ac:dyDescent="0.25">
      <c r="A111" s="1" t="s">
        <v>149</v>
      </c>
      <c r="B111" s="1" t="s">
        <v>150</v>
      </c>
      <c r="C111" s="1" t="s">
        <v>264</v>
      </c>
      <c r="D111" s="1" t="s">
        <v>753</v>
      </c>
      <c r="E111" s="1" t="s">
        <v>321</v>
      </c>
      <c r="F111" s="1" t="s">
        <v>266</v>
      </c>
      <c r="G111" s="1" t="s">
        <v>322</v>
      </c>
      <c r="H111" s="1" t="s">
        <v>268</v>
      </c>
      <c r="I111" s="1" t="s">
        <v>105</v>
      </c>
      <c r="J111" s="1" t="s">
        <v>323</v>
      </c>
      <c r="K111" s="1" t="s">
        <v>754</v>
      </c>
      <c r="L111" s="1" t="s">
        <v>755</v>
      </c>
      <c r="M111">
        <v>8</v>
      </c>
      <c r="N111">
        <v>0</v>
      </c>
      <c r="O111">
        <v>0</v>
      </c>
      <c r="P111">
        <v>1</v>
      </c>
      <c r="Q111">
        <v>1</v>
      </c>
      <c r="R111" s="1" t="s">
        <v>322</v>
      </c>
      <c r="S111" s="1" t="s">
        <v>140</v>
      </c>
    </row>
    <row r="112" spans="1:19" x14ac:dyDescent="0.25">
      <c r="A112" s="1" t="s">
        <v>212</v>
      </c>
      <c r="B112" s="1" t="s">
        <v>270</v>
      </c>
      <c r="C112" s="1" t="s">
        <v>271</v>
      </c>
      <c r="D112" s="1" t="s">
        <v>723</v>
      </c>
      <c r="E112" s="1" t="s">
        <v>272</v>
      </c>
      <c r="F112" s="1" t="s">
        <v>273</v>
      </c>
      <c r="G112" s="1" t="s">
        <v>324</v>
      </c>
      <c r="H112" s="1" t="s">
        <v>325</v>
      </c>
      <c r="I112" s="1" t="s">
        <v>101</v>
      </c>
      <c r="J112" s="1" t="s">
        <v>326</v>
      </c>
      <c r="K112" s="1" t="s">
        <v>756</v>
      </c>
      <c r="L112" s="1" t="s">
        <v>757</v>
      </c>
      <c r="M112">
        <v>6</v>
      </c>
      <c r="N112">
        <v>0</v>
      </c>
      <c r="O112">
        <v>1</v>
      </c>
      <c r="P112">
        <v>1</v>
      </c>
      <c r="Q112">
        <v>1</v>
      </c>
      <c r="R112" s="1" t="s">
        <v>324</v>
      </c>
      <c r="S112" s="1" t="s">
        <v>140</v>
      </c>
    </row>
    <row r="113" spans="1:19" x14ac:dyDescent="0.25">
      <c r="A113" s="1" t="s">
        <v>149</v>
      </c>
      <c r="B113" s="1" t="s">
        <v>150</v>
      </c>
      <c r="C113" s="1" t="s">
        <v>151</v>
      </c>
      <c r="D113" s="1" t="s">
        <v>664</v>
      </c>
      <c r="E113" s="1" t="s">
        <v>152</v>
      </c>
      <c r="F113" s="1" t="s">
        <v>153</v>
      </c>
      <c r="G113" s="1" t="s">
        <v>327</v>
      </c>
      <c r="H113" s="1" t="s">
        <v>222</v>
      </c>
      <c r="I113" s="1" t="s">
        <v>106</v>
      </c>
      <c r="J113" s="1" t="s">
        <v>328</v>
      </c>
      <c r="K113" s="1" t="s">
        <v>758</v>
      </c>
      <c r="L113" s="1" t="s">
        <v>759</v>
      </c>
      <c r="M113">
        <v>7</v>
      </c>
      <c r="N113">
        <v>0</v>
      </c>
      <c r="O113">
        <v>1</v>
      </c>
      <c r="P113">
        <v>1</v>
      </c>
      <c r="Q113">
        <v>1</v>
      </c>
      <c r="R113" s="1" t="s">
        <v>327</v>
      </c>
      <c r="S113" s="1" t="s">
        <v>140</v>
      </c>
    </row>
    <row r="114" spans="1:19" x14ac:dyDescent="0.25">
      <c r="A114" s="1" t="s">
        <v>178</v>
      </c>
      <c r="B114" s="1" t="s">
        <v>179</v>
      </c>
      <c r="C114" s="1" t="s">
        <v>329</v>
      </c>
      <c r="D114" s="1" t="s">
        <v>760</v>
      </c>
      <c r="E114" s="1" t="s">
        <v>330</v>
      </c>
      <c r="F114" s="1" t="s">
        <v>331</v>
      </c>
      <c r="G114" s="1" t="s">
        <v>332</v>
      </c>
      <c r="H114" s="1" t="s">
        <v>333</v>
      </c>
      <c r="I114" s="1" t="s">
        <v>122</v>
      </c>
      <c r="J114" s="1" t="s">
        <v>334</v>
      </c>
      <c r="K114" s="1" t="s">
        <v>761</v>
      </c>
      <c r="L114" s="1" t="s">
        <v>762</v>
      </c>
      <c r="M114">
        <v>5</v>
      </c>
      <c r="N114">
        <v>0</v>
      </c>
      <c r="O114">
        <v>1</v>
      </c>
      <c r="P114">
        <v>1</v>
      </c>
      <c r="Q114">
        <v>1</v>
      </c>
      <c r="R114" s="1" t="s">
        <v>332</v>
      </c>
      <c r="S114" s="1" t="s">
        <v>140</v>
      </c>
    </row>
    <row r="115" spans="1:19" x14ac:dyDescent="0.25">
      <c r="A115" s="1" t="s">
        <v>178</v>
      </c>
      <c r="B115" s="1" t="s">
        <v>179</v>
      </c>
      <c r="C115" s="1" t="s">
        <v>187</v>
      </c>
      <c r="D115" s="1" t="s">
        <v>679</v>
      </c>
      <c r="E115" s="1" t="s">
        <v>188</v>
      </c>
      <c r="F115" s="1" t="s">
        <v>189</v>
      </c>
      <c r="G115" s="1" t="s">
        <v>335</v>
      </c>
      <c r="H115" s="1" t="s">
        <v>336</v>
      </c>
      <c r="I115" s="1" t="s">
        <v>99</v>
      </c>
      <c r="J115" s="1" t="s">
        <v>337</v>
      </c>
      <c r="K115" s="1" t="s">
        <v>763</v>
      </c>
      <c r="L115" s="1" t="s">
        <v>764</v>
      </c>
      <c r="M115">
        <v>1</v>
      </c>
      <c r="N115">
        <v>1</v>
      </c>
      <c r="O115">
        <v>1</v>
      </c>
      <c r="P115">
        <v>1</v>
      </c>
      <c r="Q115">
        <v>1</v>
      </c>
      <c r="R115" s="1" t="s">
        <v>335</v>
      </c>
      <c r="S115" s="1" t="s">
        <v>140</v>
      </c>
    </row>
    <row r="116" spans="1:19" x14ac:dyDescent="0.25">
      <c r="A116" s="1" t="s">
        <v>178</v>
      </c>
      <c r="B116" s="1" t="s">
        <v>315</v>
      </c>
      <c r="C116" s="1" t="s">
        <v>338</v>
      </c>
      <c r="D116" s="1" t="s">
        <v>765</v>
      </c>
      <c r="E116" s="1" t="s">
        <v>339</v>
      </c>
      <c r="F116" s="1" t="s">
        <v>331</v>
      </c>
      <c r="G116" s="1" t="s">
        <v>340</v>
      </c>
      <c r="H116" s="1" t="s">
        <v>341</v>
      </c>
      <c r="I116" s="1" t="s">
        <v>121</v>
      </c>
      <c r="J116" s="1" t="s">
        <v>342</v>
      </c>
      <c r="K116" s="1" t="s">
        <v>766</v>
      </c>
      <c r="L116" s="1" t="s">
        <v>767</v>
      </c>
      <c r="M116">
        <v>1</v>
      </c>
      <c r="N116">
        <v>1</v>
      </c>
      <c r="O116">
        <v>1</v>
      </c>
      <c r="P116">
        <v>1</v>
      </c>
      <c r="Q116">
        <v>1</v>
      </c>
      <c r="R116" s="1" t="s">
        <v>340</v>
      </c>
      <c r="S116" s="1" t="s">
        <v>140</v>
      </c>
    </row>
    <row r="117" spans="1:19" x14ac:dyDescent="0.25">
      <c r="A117" s="1" t="s">
        <v>178</v>
      </c>
      <c r="B117" s="1" t="s">
        <v>179</v>
      </c>
      <c r="C117" s="1" t="s">
        <v>329</v>
      </c>
      <c r="D117" s="1" t="s">
        <v>760</v>
      </c>
      <c r="E117" s="1" t="s">
        <v>330</v>
      </c>
      <c r="F117" s="1" t="s">
        <v>331</v>
      </c>
      <c r="G117" s="1" t="s">
        <v>343</v>
      </c>
      <c r="H117" s="1" t="s">
        <v>344</v>
      </c>
      <c r="I117" s="1" t="s">
        <v>100</v>
      </c>
      <c r="J117" s="1" t="s">
        <v>345</v>
      </c>
      <c r="K117" s="1" t="s">
        <v>768</v>
      </c>
      <c r="L117" s="1" t="s">
        <v>769</v>
      </c>
      <c r="M117">
        <v>6</v>
      </c>
      <c r="N117">
        <v>0</v>
      </c>
      <c r="O117">
        <v>1</v>
      </c>
      <c r="P117">
        <v>1</v>
      </c>
      <c r="Q117">
        <v>1</v>
      </c>
      <c r="R117" s="1" t="s">
        <v>343</v>
      </c>
      <c r="S117" s="1" t="s">
        <v>140</v>
      </c>
    </row>
    <row r="118" spans="1:19" x14ac:dyDescent="0.25">
      <c r="A118" s="1" t="s">
        <v>149</v>
      </c>
      <c r="B118" s="1" t="s">
        <v>150</v>
      </c>
      <c r="C118" s="1" t="s">
        <v>158</v>
      </c>
      <c r="D118" s="1" t="s">
        <v>670</v>
      </c>
      <c r="E118" s="1" t="s">
        <v>165</v>
      </c>
      <c r="F118" s="1" t="s">
        <v>160</v>
      </c>
      <c r="G118" s="1" t="s">
        <v>346</v>
      </c>
      <c r="H118" s="1" t="s">
        <v>347</v>
      </c>
      <c r="I118" s="1" t="s">
        <v>120</v>
      </c>
      <c r="J118" s="1" t="s">
        <v>348</v>
      </c>
      <c r="K118" s="1" t="s">
        <v>770</v>
      </c>
      <c r="L118" s="1" t="s">
        <v>771</v>
      </c>
      <c r="M118">
        <v>15</v>
      </c>
      <c r="N118">
        <v>0</v>
      </c>
      <c r="O118">
        <v>0</v>
      </c>
      <c r="P118">
        <v>1</v>
      </c>
      <c r="Q118">
        <v>1</v>
      </c>
      <c r="R118" s="1" t="s">
        <v>346</v>
      </c>
      <c r="S118" s="1" t="s">
        <v>140</v>
      </c>
    </row>
    <row r="119" spans="1:19" x14ac:dyDescent="0.25">
      <c r="A119" s="1" t="s">
        <v>178</v>
      </c>
      <c r="B119" s="1" t="s">
        <v>179</v>
      </c>
      <c r="C119" s="1" t="s">
        <v>180</v>
      </c>
      <c r="D119" s="1" t="s">
        <v>676</v>
      </c>
      <c r="E119" s="1" t="s">
        <v>181</v>
      </c>
      <c r="F119" s="1" t="s">
        <v>182</v>
      </c>
      <c r="G119" s="1" t="s">
        <v>349</v>
      </c>
      <c r="H119" s="1" t="s">
        <v>350</v>
      </c>
      <c r="I119" s="1" t="s">
        <v>78</v>
      </c>
      <c r="J119" s="1" t="s">
        <v>351</v>
      </c>
      <c r="K119" s="1" t="s">
        <v>772</v>
      </c>
      <c r="L119" s="1" t="s">
        <v>773</v>
      </c>
      <c r="M119">
        <v>1</v>
      </c>
      <c r="N119">
        <v>1</v>
      </c>
      <c r="O119">
        <v>1</v>
      </c>
      <c r="P119">
        <v>1</v>
      </c>
      <c r="Q119">
        <v>1</v>
      </c>
      <c r="R119" s="1" t="s">
        <v>349</v>
      </c>
      <c r="S119" s="1" t="s">
        <v>140</v>
      </c>
    </row>
    <row r="120" spans="1:19" x14ac:dyDescent="0.25">
      <c r="A120" s="1" t="s">
        <v>149</v>
      </c>
      <c r="B120" s="1" t="s">
        <v>150</v>
      </c>
      <c r="C120" s="1" t="s">
        <v>158</v>
      </c>
      <c r="D120" s="1" t="s">
        <v>667</v>
      </c>
      <c r="E120" s="1" t="s">
        <v>159</v>
      </c>
      <c r="F120" s="1" t="s">
        <v>160</v>
      </c>
      <c r="G120" s="1" t="s">
        <v>352</v>
      </c>
      <c r="H120" s="1" t="s">
        <v>353</v>
      </c>
      <c r="I120" s="1" t="s">
        <v>86</v>
      </c>
      <c r="J120" s="1" t="s">
        <v>354</v>
      </c>
      <c r="K120" s="1" t="s">
        <v>774</v>
      </c>
      <c r="L120" s="1" t="s">
        <v>775</v>
      </c>
      <c r="M120">
        <v>1</v>
      </c>
      <c r="N120">
        <v>1</v>
      </c>
      <c r="O120">
        <v>1</v>
      </c>
      <c r="P120">
        <v>1</v>
      </c>
      <c r="Q120">
        <v>1</v>
      </c>
      <c r="R120" s="1" t="s">
        <v>352</v>
      </c>
      <c r="S120" s="1" t="s">
        <v>140</v>
      </c>
    </row>
    <row r="121" spans="1:19" x14ac:dyDescent="0.25">
      <c r="A121" s="1" t="s">
        <v>149</v>
      </c>
      <c r="B121" s="1" t="s">
        <v>170</v>
      </c>
      <c r="C121" s="1" t="s">
        <v>192</v>
      </c>
      <c r="D121" s="1" t="s">
        <v>702</v>
      </c>
      <c r="E121" s="1" t="s">
        <v>233</v>
      </c>
      <c r="F121" s="1" t="s">
        <v>194</v>
      </c>
      <c r="G121" s="1" t="s">
        <v>355</v>
      </c>
      <c r="H121" s="1" t="s">
        <v>356</v>
      </c>
      <c r="I121" s="1" t="s">
        <v>54</v>
      </c>
      <c r="J121" s="1" t="s">
        <v>357</v>
      </c>
      <c r="K121" s="1" t="s">
        <v>776</v>
      </c>
      <c r="L121" s="1" t="s">
        <v>777</v>
      </c>
      <c r="M121">
        <v>0</v>
      </c>
      <c r="N121">
        <v>1</v>
      </c>
      <c r="O121">
        <v>1</v>
      </c>
      <c r="P121">
        <v>1</v>
      </c>
      <c r="Q121">
        <v>1</v>
      </c>
      <c r="R121" s="1" t="s">
        <v>355</v>
      </c>
      <c r="S121" s="1" t="s">
        <v>140</v>
      </c>
    </row>
    <row r="122" spans="1:19" x14ac:dyDescent="0.25">
      <c r="A122" s="1" t="s">
        <v>149</v>
      </c>
      <c r="B122" s="1" t="s">
        <v>150</v>
      </c>
      <c r="C122" s="1" t="s">
        <v>151</v>
      </c>
      <c r="D122" s="1" t="s">
        <v>695</v>
      </c>
      <c r="E122" s="1" t="s">
        <v>220</v>
      </c>
      <c r="F122" s="1" t="s">
        <v>153</v>
      </c>
      <c r="G122" s="1" t="s">
        <v>358</v>
      </c>
      <c r="H122" s="1" t="s">
        <v>238</v>
      </c>
      <c r="I122" s="1" t="s">
        <v>63</v>
      </c>
      <c r="J122" s="1" t="s">
        <v>359</v>
      </c>
      <c r="K122" s="1" t="s">
        <v>778</v>
      </c>
      <c r="L122" s="1" t="s">
        <v>779</v>
      </c>
      <c r="M122">
        <v>0</v>
      </c>
      <c r="N122">
        <v>1</v>
      </c>
      <c r="O122">
        <v>1</v>
      </c>
      <c r="P122">
        <v>1</v>
      </c>
      <c r="Q122">
        <v>1</v>
      </c>
      <c r="R122" s="1" t="s">
        <v>358</v>
      </c>
      <c r="S122" s="1" t="s">
        <v>140</v>
      </c>
    </row>
    <row r="123" spans="1:19" x14ac:dyDescent="0.25">
      <c r="A123" s="1" t="s">
        <v>149</v>
      </c>
      <c r="B123" s="1" t="s">
        <v>170</v>
      </c>
      <c r="C123" s="1" t="s">
        <v>192</v>
      </c>
      <c r="D123" s="1" t="s">
        <v>780</v>
      </c>
      <c r="E123" s="1" t="s">
        <v>360</v>
      </c>
      <c r="F123" s="1" t="s">
        <v>254</v>
      </c>
      <c r="G123" s="1" t="s">
        <v>361</v>
      </c>
      <c r="H123" s="1" t="s">
        <v>362</v>
      </c>
      <c r="I123" s="1" t="s">
        <v>53</v>
      </c>
      <c r="J123" s="1" t="s">
        <v>363</v>
      </c>
      <c r="K123" s="1" t="s">
        <v>781</v>
      </c>
      <c r="L123" s="1" t="s">
        <v>782</v>
      </c>
      <c r="M123">
        <v>0</v>
      </c>
      <c r="N123">
        <v>1</v>
      </c>
      <c r="O123">
        <v>1</v>
      </c>
      <c r="P123">
        <v>1</v>
      </c>
      <c r="Q123">
        <v>1</v>
      </c>
      <c r="R123" s="1" t="s">
        <v>361</v>
      </c>
      <c r="S123" s="1" t="s">
        <v>140</v>
      </c>
    </row>
    <row r="124" spans="1:19" x14ac:dyDescent="0.25">
      <c r="A124" s="1" t="s">
        <v>149</v>
      </c>
      <c r="B124" s="1" t="s">
        <v>150</v>
      </c>
      <c r="C124" s="1" t="s">
        <v>158</v>
      </c>
      <c r="D124" s="1" t="s">
        <v>670</v>
      </c>
      <c r="E124" s="1" t="s">
        <v>165</v>
      </c>
      <c r="F124" s="1" t="s">
        <v>160</v>
      </c>
      <c r="G124" s="1" t="s">
        <v>364</v>
      </c>
      <c r="H124" s="1" t="s">
        <v>365</v>
      </c>
      <c r="I124" s="1" t="s">
        <v>93</v>
      </c>
      <c r="J124" s="1" t="s">
        <v>366</v>
      </c>
      <c r="K124" s="1" t="s">
        <v>783</v>
      </c>
      <c r="L124" s="1" t="s">
        <v>784</v>
      </c>
      <c r="M124">
        <v>16</v>
      </c>
      <c r="N124">
        <v>0</v>
      </c>
      <c r="O124">
        <v>0</v>
      </c>
      <c r="P124">
        <v>1</v>
      </c>
      <c r="Q124">
        <v>1</v>
      </c>
      <c r="R124" s="1" t="s">
        <v>364</v>
      </c>
      <c r="S124" s="1" t="s">
        <v>140</v>
      </c>
    </row>
    <row r="125" spans="1:19" x14ac:dyDescent="0.25">
      <c r="A125" s="1" t="s">
        <v>178</v>
      </c>
      <c r="B125" s="1" t="s">
        <v>179</v>
      </c>
      <c r="C125" s="1" t="s">
        <v>203</v>
      </c>
      <c r="D125" s="1" t="s">
        <v>687</v>
      </c>
      <c r="E125" s="1" t="s">
        <v>204</v>
      </c>
      <c r="F125" s="1" t="s">
        <v>205</v>
      </c>
      <c r="G125" s="1" t="s">
        <v>367</v>
      </c>
      <c r="H125" s="1" t="s">
        <v>368</v>
      </c>
      <c r="I125" s="1" t="s">
        <v>58</v>
      </c>
      <c r="J125" s="1" t="s">
        <v>369</v>
      </c>
      <c r="K125" s="1" t="s">
        <v>785</v>
      </c>
      <c r="L125" s="1" t="s">
        <v>786</v>
      </c>
      <c r="M125">
        <v>1</v>
      </c>
      <c r="N125">
        <v>1</v>
      </c>
      <c r="O125">
        <v>1</v>
      </c>
      <c r="P125">
        <v>1</v>
      </c>
      <c r="Q125">
        <v>1</v>
      </c>
      <c r="R125" s="1" t="s">
        <v>367</v>
      </c>
      <c r="S125" s="1" t="s">
        <v>140</v>
      </c>
    </row>
    <row r="126" spans="1:19" x14ac:dyDescent="0.25">
      <c r="A126" s="1" t="s">
        <v>178</v>
      </c>
      <c r="B126" s="1" t="s">
        <v>179</v>
      </c>
      <c r="C126" s="1" t="s">
        <v>287</v>
      </c>
      <c r="D126" s="1" t="s">
        <v>787</v>
      </c>
      <c r="E126" s="1" t="s">
        <v>370</v>
      </c>
      <c r="F126" s="1" t="s">
        <v>371</v>
      </c>
      <c r="G126" s="1" t="s">
        <v>372</v>
      </c>
      <c r="H126" s="1" t="s">
        <v>373</v>
      </c>
      <c r="I126" s="1" t="s">
        <v>24</v>
      </c>
      <c r="J126" s="1" t="s">
        <v>374</v>
      </c>
      <c r="K126" s="1" t="s">
        <v>788</v>
      </c>
      <c r="L126" s="1" t="s">
        <v>789</v>
      </c>
      <c r="M126">
        <v>3</v>
      </c>
      <c r="N126">
        <v>1</v>
      </c>
      <c r="O126">
        <v>1</v>
      </c>
      <c r="P126">
        <v>1</v>
      </c>
      <c r="Q126">
        <v>1</v>
      </c>
      <c r="R126" s="1" t="s">
        <v>372</v>
      </c>
      <c r="S126" s="1" t="s">
        <v>140</v>
      </c>
    </row>
    <row r="127" spans="1:19" x14ac:dyDescent="0.25">
      <c r="A127" s="1" t="s">
        <v>212</v>
      </c>
      <c r="B127" s="1" t="s">
        <v>213</v>
      </c>
      <c r="C127" s="1" t="s">
        <v>375</v>
      </c>
      <c r="D127" s="1" t="s">
        <v>790</v>
      </c>
      <c r="E127" s="1" t="s">
        <v>376</v>
      </c>
      <c r="F127" s="1" t="s">
        <v>377</v>
      </c>
      <c r="G127" s="1" t="s">
        <v>378</v>
      </c>
      <c r="H127" s="1" t="s">
        <v>379</v>
      </c>
      <c r="I127" s="1" t="s">
        <v>79</v>
      </c>
      <c r="J127" s="1" t="s">
        <v>380</v>
      </c>
      <c r="K127" s="1" t="s">
        <v>791</v>
      </c>
      <c r="L127" s="1" t="s">
        <v>792</v>
      </c>
      <c r="M127">
        <v>5</v>
      </c>
      <c r="N127">
        <v>0</v>
      </c>
      <c r="O127">
        <v>1</v>
      </c>
      <c r="P127">
        <v>1</v>
      </c>
      <c r="Q127">
        <v>1</v>
      </c>
      <c r="R127" s="1" t="s">
        <v>378</v>
      </c>
      <c r="S127" s="1" t="s">
        <v>140</v>
      </c>
    </row>
    <row r="128" spans="1:19" x14ac:dyDescent="0.25">
      <c r="A128" s="1" t="s">
        <v>212</v>
      </c>
      <c r="B128" s="1" t="s">
        <v>213</v>
      </c>
      <c r="C128" s="1" t="s">
        <v>375</v>
      </c>
      <c r="D128" s="1" t="s">
        <v>793</v>
      </c>
      <c r="E128" s="1" t="s">
        <v>381</v>
      </c>
      <c r="F128" s="1" t="s">
        <v>377</v>
      </c>
      <c r="G128" s="1" t="s">
        <v>382</v>
      </c>
      <c r="H128" s="1" t="s">
        <v>383</v>
      </c>
      <c r="I128" s="1" t="s">
        <v>79</v>
      </c>
      <c r="J128" s="1" t="s">
        <v>384</v>
      </c>
      <c r="K128" s="1" t="s">
        <v>794</v>
      </c>
      <c r="L128" s="1" t="s">
        <v>795</v>
      </c>
      <c r="M128">
        <v>2</v>
      </c>
      <c r="N128">
        <v>1</v>
      </c>
      <c r="O128">
        <v>1</v>
      </c>
      <c r="P128">
        <v>1</v>
      </c>
      <c r="Q128">
        <v>1</v>
      </c>
      <c r="R128" s="1" t="s">
        <v>382</v>
      </c>
      <c r="S128" s="1" t="s">
        <v>140</v>
      </c>
    </row>
    <row r="129" spans="1:19" x14ac:dyDescent="0.25">
      <c r="A129" s="1" t="s">
        <v>212</v>
      </c>
      <c r="B129" s="1" t="s">
        <v>270</v>
      </c>
      <c r="C129" s="1" t="s">
        <v>385</v>
      </c>
      <c r="D129" s="1" t="s">
        <v>796</v>
      </c>
      <c r="E129" s="1" t="s">
        <v>386</v>
      </c>
      <c r="F129" s="1" t="s">
        <v>387</v>
      </c>
      <c r="G129" s="1" t="s">
        <v>388</v>
      </c>
      <c r="H129" s="1" t="s">
        <v>389</v>
      </c>
      <c r="I129" s="1" t="s">
        <v>81</v>
      </c>
      <c r="J129" s="1" t="s">
        <v>390</v>
      </c>
      <c r="K129" s="1" t="s">
        <v>797</v>
      </c>
      <c r="L129" s="1" t="s">
        <v>798</v>
      </c>
      <c r="M129">
        <v>0</v>
      </c>
      <c r="N129">
        <v>1</v>
      </c>
      <c r="O129">
        <v>1</v>
      </c>
      <c r="P129">
        <v>1</v>
      </c>
      <c r="Q129">
        <v>1</v>
      </c>
      <c r="R129" s="1" t="s">
        <v>388</v>
      </c>
      <c r="S129" s="1" t="s">
        <v>140</v>
      </c>
    </row>
    <row r="130" spans="1:19" x14ac:dyDescent="0.25">
      <c r="A130" s="1" t="s">
        <v>149</v>
      </c>
      <c r="B130" s="1" t="s">
        <v>150</v>
      </c>
      <c r="C130" s="1" t="s">
        <v>151</v>
      </c>
      <c r="D130" s="1" t="s">
        <v>664</v>
      </c>
      <c r="E130" s="1" t="s">
        <v>152</v>
      </c>
      <c r="F130" s="1" t="s">
        <v>153</v>
      </c>
      <c r="G130" s="1" t="s">
        <v>391</v>
      </c>
      <c r="H130" s="1" t="s">
        <v>392</v>
      </c>
      <c r="I130" s="1" t="s">
        <v>8</v>
      </c>
      <c r="J130" s="1" t="s">
        <v>393</v>
      </c>
      <c r="K130" s="1" t="s">
        <v>799</v>
      </c>
      <c r="L130" s="1" t="s">
        <v>800</v>
      </c>
      <c r="M130">
        <v>0</v>
      </c>
      <c r="N130">
        <v>1</v>
      </c>
      <c r="O130">
        <v>1</v>
      </c>
      <c r="P130">
        <v>1</v>
      </c>
      <c r="Q130">
        <v>1</v>
      </c>
      <c r="R130" s="1" t="s">
        <v>391</v>
      </c>
      <c r="S130" s="1" t="s">
        <v>140</v>
      </c>
    </row>
    <row r="131" spans="1:19" x14ac:dyDescent="0.25">
      <c r="A131" s="1" t="s">
        <v>149</v>
      </c>
      <c r="B131" s="1" t="s">
        <v>150</v>
      </c>
      <c r="C131" s="1" t="s">
        <v>158</v>
      </c>
      <c r="D131" s="1" t="s">
        <v>667</v>
      </c>
      <c r="E131" s="1" t="s">
        <v>159</v>
      </c>
      <c r="F131" s="1" t="s">
        <v>160</v>
      </c>
      <c r="G131" s="1" t="s">
        <v>394</v>
      </c>
      <c r="H131" s="1" t="s">
        <v>395</v>
      </c>
      <c r="I131" s="1" t="s">
        <v>40</v>
      </c>
      <c r="J131" s="1" t="s">
        <v>396</v>
      </c>
      <c r="K131" s="1" t="s">
        <v>801</v>
      </c>
      <c r="L131" s="1" t="s">
        <v>802</v>
      </c>
      <c r="M131">
        <v>0</v>
      </c>
      <c r="N131">
        <v>1</v>
      </c>
      <c r="O131">
        <v>1</v>
      </c>
      <c r="P131">
        <v>1</v>
      </c>
      <c r="Q131">
        <v>1</v>
      </c>
      <c r="R131" s="1" t="s">
        <v>394</v>
      </c>
      <c r="S131" s="1" t="s">
        <v>140</v>
      </c>
    </row>
    <row r="132" spans="1:19" x14ac:dyDescent="0.25">
      <c r="A132" s="1" t="s">
        <v>212</v>
      </c>
      <c r="B132" s="1" t="s">
        <v>213</v>
      </c>
      <c r="C132" s="1" t="s">
        <v>375</v>
      </c>
      <c r="D132" s="1" t="s">
        <v>790</v>
      </c>
      <c r="E132" s="1" t="s">
        <v>376</v>
      </c>
      <c r="F132" s="1" t="s">
        <v>377</v>
      </c>
      <c r="G132" s="1" t="s">
        <v>397</v>
      </c>
      <c r="H132" s="1" t="s">
        <v>398</v>
      </c>
      <c r="I132" s="1" t="s">
        <v>39</v>
      </c>
      <c r="J132" s="1" t="s">
        <v>399</v>
      </c>
      <c r="K132" s="1" t="s">
        <v>803</v>
      </c>
      <c r="L132" s="1" t="s">
        <v>804</v>
      </c>
      <c r="M132">
        <v>8</v>
      </c>
      <c r="N132">
        <v>0</v>
      </c>
      <c r="O132">
        <v>0</v>
      </c>
      <c r="P132">
        <v>1</v>
      </c>
      <c r="Q132">
        <v>1</v>
      </c>
      <c r="R132" s="1" t="s">
        <v>397</v>
      </c>
      <c r="S132" s="1" t="s">
        <v>140</v>
      </c>
    </row>
    <row r="133" spans="1:19" x14ac:dyDescent="0.25">
      <c r="A133" s="1" t="s">
        <v>149</v>
      </c>
      <c r="B133" s="1" t="s">
        <v>150</v>
      </c>
      <c r="C133" s="1" t="s">
        <v>151</v>
      </c>
      <c r="D133" s="1" t="s">
        <v>695</v>
      </c>
      <c r="E133" s="1" t="s">
        <v>220</v>
      </c>
      <c r="F133" s="1" t="s">
        <v>153</v>
      </c>
      <c r="G133" s="1" t="s">
        <v>400</v>
      </c>
      <c r="H133" s="1" t="s">
        <v>401</v>
      </c>
      <c r="I133" s="1" t="s">
        <v>67</v>
      </c>
      <c r="J133" s="1" t="s">
        <v>402</v>
      </c>
      <c r="K133" s="1" t="s">
        <v>805</v>
      </c>
      <c r="L133" s="1" t="s">
        <v>806</v>
      </c>
      <c r="M133">
        <v>4</v>
      </c>
      <c r="N133">
        <v>0</v>
      </c>
      <c r="O133">
        <v>1</v>
      </c>
      <c r="P133">
        <v>1</v>
      </c>
      <c r="Q133">
        <v>1</v>
      </c>
      <c r="R133" s="1" t="s">
        <v>400</v>
      </c>
      <c r="S133" s="1" t="s">
        <v>140</v>
      </c>
    </row>
    <row r="134" spans="1:19" x14ac:dyDescent="0.25">
      <c r="A134" s="1" t="s">
        <v>178</v>
      </c>
      <c r="B134" s="1" t="s">
        <v>315</v>
      </c>
      <c r="C134" s="1" t="s">
        <v>316</v>
      </c>
      <c r="D134" s="1" t="s">
        <v>807</v>
      </c>
      <c r="E134" s="1" t="s">
        <v>403</v>
      </c>
      <c r="F134" s="1" t="s">
        <v>318</v>
      </c>
      <c r="G134" s="1" t="s">
        <v>404</v>
      </c>
      <c r="H134" s="1" t="s">
        <v>405</v>
      </c>
      <c r="I134" s="1" t="s">
        <v>89</v>
      </c>
      <c r="J134" s="1" t="s">
        <v>406</v>
      </c>
      <c r="K134" s="1" t="s">
        <v>808</v>
      </c>
      <c r="L134" s="1" t="s">
        <v>809</v>
      </c>
      <c r="M134">
        <v>2</v>
      </c>
      <c r="N134">
        <v>1</v>
      </c>
      <c r="O134">
        <v>1</v>
      </c>
      <c r="P134">
        <v>1</v>
      </c>
      <c r="Q134">
        <v>1</v>
      </c>
      <c r="R134" s="1" t="s">
        <v>404</v>
      </c>
      <c r="S134" s="1" t="s">
        <v>140</v>
      </c>
    </row>
    <row r="135" spans="1:19" x14ac:dyDescent="0.25">
      <c r="A135" s="1" t="s">
        <v>149</v>
      </c>
      <c r="B135" s="1" t="s">
        <v>150</v>
      </c>
      <c r="C135" s="1" t="s">
        <v>407</v>
      </c>
      <c r="D135" s="1" t="s">
        <v>810</v>
      </c>
      <c r="E135" s="1" t="s">
        <v>408</v>
      </c>
      <c r="F135" s="1" t="s">
        <v>409</v>
      </c>
      <c r="G135" s="1" t="s">
        <v>410</v>
      </c>
      <c r="H135" s="1" t="s">
        <v>411</v>
      </c>
      <c r="I135" s="1" t="s">
        <v>55</v>
      </c>
      <c r="J135" s="1" t="s">
        <v>412</v>
      </c>
      <c r="K135" s="1" t="s">
        <v>811</v>
      </c>
      <c r="L135" s="1" t="s">
        <v>812</v>
      </c>
      <c r="M135">
        <v>1</v>
      </c>
      <c r="N135">
        <v>1</v>
      </c>
      <c r="O135">
        <v>1</v>
      </c>
      <c r="P135">
        <v>1</v>
      </c>
      <c r="Q135">
        <v>1</v>
      </c>
      <c r="R135" s="1" t="s">
        <v>410</v>
      </c>
      <c r="S135" s="1" t="s">
        <v>140</v>
      </c>
    </row>
    <row r="136" spans="1:19" x14ac:dyDescent="0.25">
      <c r="A136" s="1" t="s">
        <v>149</v>
      </c>
      <c r="B136" s="1" t="s">
        <v>150</v>
      </c>
      <c r="C136" s="1" t="s">
        <v>264</v>
      </c>
      <c r="D136" s="1" t="s">
        <v>720</v>
      </c>
      <c r="E136" s="1" t="s">
        <v>265</v>
      </c>
      <c r="F136" s="1" t="s">
        <v>266</v>
      </c>
      <c r="G136" s="1" t="s">
        <v>413</v>
      </c>
      <c r="H136" s="1" t="s">
        <v>414</v>
      </c>
      <c r="I136" s="1" t="s">
        <v>56</v>
      </c>
      <c r="J136" s="1" t="s">
        <v>415</v>
      </c>
      <c r="K136" s="1" t="s">
        <v>813</v>
      </c>
      <c r="L136" s="1" t="s">
        <v>814</v>
      </c>
      <c r="M136">
        <v>4</v>
      </c>
      <c r="N136">
        <v>0</v>
      </c>
      <c r="O136">
        <v>1</v>
      </c>
      <c r="P136">
        <v>1</v>
      </c>
      <c r="Q136">
        <v>1</v>
      </c>
      <c r="R136" s="1" t="s">
        <v>413</v>
      </c>
      <c r="S136" s="1" t="s">
        <v>140</v>
      </c>
    </row>
    <row r="137" spans="1:19" x14ac:dyDescent="0.25">
      <c r="A137" s="1" t="s">
        <v>149</v>
      </c>
      <c r="B137" s="1" t="s">
        <v>170</v>
      </c>
      <c r="C137" s="1" t="s">
        <v>416</v>
      </c>
      <c r="D137" s="1" t="s">
        <v>815</v>
      </c>
      <c r="E137" s="1" t="s">
        <v>417</v>
      </c>
      <c r="F137" s="1" t="s">
        <v>418</v>
      </c>
      <c r="G137" s="1" t="s">
        <v>419</v>
      </c>
      <c r="H137" s="1" t="s">
        <v>420</v>
      </c>
      <c r="I137" s="1" t="s">
        <v>10</v>
      </c>
      <c r="J137" s="1" t="s">
        <v>421</v>
      </c>
      <c r="K137" s="1" t="s">
        <v>816</v>
      </c>
      <c r="L137" s="1" t="s">
        <v>817</v>
      </c>
      <c r="M137">
        <v>0</v>
      </c>
      <c r="N137">
        <v>1</v>
      </c>
      <c r="O137">
        <v>1</v>
      </c>
      <c r="P137">
        <v>1</v>
      </c>
      <c r="Q137">
        <v>1</v>
      </c>
      <c r="R137" s="1" t="s">
        <v>419</v>
      </c>
      <c r="S137" s="1" t="s">
        <v>140</v>
      </c>
    </row>
    <row r="138" spans="1:19" x14ac:dyDescent="0.25">
      <c r="A138" s="1" t="s">
        <v>212</v>
      </c>
      <c r="B138" s="1" t="s">
        <v>270</v>
      </c>
      <c r="C138" s="1" t="s">
        <v>293</v>
      </c>
      <c r="D138" s="1" t="s">
        <v>736</v>
      </c>
      <c r="E138" s="1" t="s">
        <v>294</v>
      </c>
      <c r="F138" s="1" t="s">
        <v>273</v>
      </c>
      <c r="G138" s="1" t="s">
        <v>422</v>
      </c>
      <c r="H138" s="1" t="s">
        <v>423</v>
      </c>
      <c r="I138" s="1" t="s">
        <v>84</v>
      </c>
      <c r="J138" s="1" t="s">
        <v>424</v>
      </c>
      <c r="K138" s="1" t="s">
        <v>818</v>
      </c>
      <c r="L138" s="1" t="s">
        <v>819</v>
      </c>
      <c r="M138">
        <v>1</v>
      </c>
      <c r="N138">
        <v>1</v>
      </c>
      <c r="O138">
        <v>1</v>
      </c>
      <c r="P138">
        <v>1</v>
      </c>
      <c r="Q138">
        <v>1</v>
      </c>
      <c r="R138" s="1" t="s">
        <v>422</v>
      </c>
      <c r="S138" s="1" t="s">
        <v>140</v>
      </c>
    </row>
    <row r="139" spans="1:19" x14ac:dyDescent="0.25">
      <c r="A139" s="1" t="s">
        <v>149</v>
      </c>
      <c r="B139" s="1" t="s">
        <v>150</v>
      </c>
      <c r="C139" s="1" t="s">
        <v>407</v>
      </c>
      <c r="D139" s="1" t="s">
        <v>820</v>
      </c>
      <c r="E139" s="1" t="s">
        <v>425</v>
      </c>
      <c r="F139" s="1" t="s">
        <v>409</v>
      </c>
      <c r="G139" s="1" t="s">
        <v>426</v>
      </c>
      <c r="H139" s="1" t="s">
        <v>427</v>
      </c>
      <c r="I139" s="1" t="s">
        <v>73</v>
      </c>
      <c r="J139" s="1" t="s">
        <v>428</v>
      </c>
      <c r="K139" s="1" t="s">
        <v>821</v>
      </c>
      <c r="L139" s="1" t="s">
        <v>822</v>
      </c>
      <c r="M139">
        <v>1</v>
      </c>
      <c r="N139">
        <v>1</v>
      </c>
      <c r="O139">
        <v>1</v>
      </c>
      <c r="P139">
        <v>1</v>
      </c>
      <c r="Q139">
        <v>1</v>
      </c>
      <c r="R139" s="1" t="s">
        <v>426</v>
      </c>
      <c r="S139" s="1" t="s">
        <v>140</v>
      </c>
    </row>
    <row r="140" spans="1:19" x14ac:dyDescent="0.25">
      <c r="A140" s="1" t="s">
        <v>178</v>
      </c>
      <c r="B140" s="1" t="s">
        <v>179</v>
      </c>
      <c r="C140" s="1" t="s">
        <v>429</v>
      </c>
      <c r="D140" s="1" t="s">
        <v>823</v>
      </c>
      <c r="E140" s="1" t="s">
        <v>430</v>
      </c>
      <c r="F140" s="1" t="s">
        <v>431</v>
      </c>
      <c r="G140" s="1" t="s">
        <v>432</v>
      </c>
      <c r="H140" s="1" t="s">
        <v>433</v>
      </c>
      <c r="I140" s="1" t="s">
        <v>66</v>
      </c>
      <c r="J140" s="1" t="s">
        <v>434</v>
      </c>
      <c r="K140" s="1" t="s">
        <v>824</v>
      </c>
      <c r="L140" s="1" t="s">
        <v>825</v>
      </c>
      <c r="M140">
        <v>4</v>
      </c>
      <c r="N140">
        <v>0</v>
      </c>
      <c r="O140">
        <v>1</v>
      </c>
      <c r="P140">
        <v>1</v>
      </c>
      <c r="Q140">
        <v>1</v>
      </c>
      <c r="R140" s="1" t="s">
        <v>432</v>
      </c>
      <c r="S140" s="1" t="s">
        <v>140</v>
      </c>
    </row>
    <row r="141" spans="1:19" x14ac:dyDescent="0.25">
      <c r="A141" s="1" t="s">
        <v>178</v>
      </c>
      <c r="B141" s="1" t="s">
        <v>179</v>
      </c>
      <c r="C141" s="1" t="s">
        <v>203</v>
      </c>
      <c r="D141" s="1" t="s">
        <v>708</v>
      </c>
      <c r="E141" s="1" t="s">
        <v>243</v>
      </c>
      <c r="F141" s="1" t="s">
        <v>205</v>
      </c>
      <c r="G141" s="1" t="s">
        <v>435</v>
      </c>
      <c r="H141" s="1" t="s">
        <v>436</v>
      </c>
      <c r="I141" s="1" t="s">
        <v>23</v>
      </c>
      <c r="J141" s="1" t="s">
        <v>437</v>
      </c>
      <c r="K141" s="1" t="s">
        <v>826</v>
      </c>
      <c r="L141" s="1" t="s">
        <v>827</v>
      </c>
      <c r="M141">
        <v>3</v>
      </c>
      <c r="N141">
        <v>1</v>
      </c>
      <c r="O141">
        <v>1</v>
      </c>
      <c r="P141">
        <v>1</v>
      </c>
      <c r="Q141">
        <v>1</v>
      </c>
      <c r="R141" s="1" t="s">
        <v>435</v>
      </c>
      <c r="S141" s="1" t="s">
        <v>140</v>
      </c>
    </row>
    <row r="142" spans="1:19" x14ac:dyDescent="0.25">
      <c r="A142" s="1" t="s">
        <v>149</v>
      </c>
      <c r="B142" s="1" t="s">
        <v>170</v>
      </c>
      <c r="C142" s="1" t="s">
        <v>416</v>
      </c>
      <c r="D142" s="1" t="s">
        <v>828</v>
      </c>
      <c r="E142" s="1" t="s">
        <v>438</v>
      </c>
      <c r="F142" s="1" t="s">
        <v>418</v>
      </c>
      <c r="G142" s="1" t="s">
        <v>439</v>
      </c>
      <c r="H142" s="1" t="s">
        <v>440</v>
      </c>
      <c r="I142" s="1" t="s">
        <v>9</v>
      </c>
      <c r="J142" s="1" t="s">
        <v>441</v>
      </c>
      <c r="K142" s="1" t="s">
        <v>829</v>
      </c>
      <c r="L142" s="1" t="s">
        <v>830</v>
      </c>
      <c r="M142">
        <v>3</v>
      </c>
      <c r="N142">
        <v>1</v>
      </c>
      <c r="O142">
        <v>1</v>
      </c>
      <c r="P142">
        <v>1</v>
      </c>
      <c r="Q142">
        <v>1</v>
      </c>
      <c r="R142" s="1" t="s">
        <v>439</v>
      </c>
      <c r="S142" s="1" t="s">
        <v>140</v>
      </c>
    </row>
    <row r="143" spans="1:19" x14ac:dyDescent="0.25">
      <c r="A143" s="1" t="s">
        <v>212</v>
      </c>
      <c r="B143" s="1" t="s">
        <v>213</v>
      </c>
      <c r="C143" s="1" t="s">
        <v>375</v>
      </c>
      <c r="D143" s="1" t="s">
        <v>793</v>
      </c>
      <c r="E143" s="1" t="s">
        <v>381</v>
      </c>
      <c r="F143" s="1" t="s">
        <v>377</v>
      </c>
      <c r="G143" s="1" t="s">
        <v>442</v>
      </c>
      <c r="H143" s="1" t="s">
        <v>443</v>
      </c>
      <c r="I143" s="1" t="s">
        <v>52</v>
      </c>
      <c r="J143" s="1" t="s">
        <v>444</v>
      </c>
      <c r="K143" s="1" t="s">
        <v>831</v>
      </c>
      <c r="L143" s="1" t="s">
        <v>832</v>
      </c>
      <c r="M143">
        <v>3</v>
      </c>
      <c r="N143">
        <v>1</v>
      </c>
      <c r="O143">
        <v>1</v>
      </c>
      <c r="P143">
        <v>1</v>
      </c>
      <c r="Q143">
        <v>1</v>
      </c>
      <c r="R143" s="1" t="s">
        <v>442</v>
      </c>
      <c r="S143" s="1" t="s">
        <v>140</v>
      </c>
    </row>
    <row r="144" spans="1:19" x14ac:dyDescent="0.25">
      <c r="A144" s="1" t="s">
        <v>178</v>
      </c>
      <c r="B144" s="1" t="s">
        <v>179</v>
      </c>
      <c r="C144" s="1" t="s">
        <v>180</v>
      </c>
      <c r="D144" s="1" t="s">
        <v>684</v>
      </c>
      <c r="E144" s="1" t="s">
        <v>199</v>
      </c>
      <c r="F144" s="1" t="s">
        <v>182</v>
      </c>
      <c r="G144" s="1" t="s">
        <v>445</v>
      </c>
      <c r="H144" s="1" t="s">
        <v>446</v>
      </c>
      <c r="I144" s="1" t="s">
        <v>38</v>
      </c>
      <c r="J144" s="1" t="s">
        <v>447</v>
      </c>
      <c r="K144" s="1" t="s">
        <v>833</v>
      </c>
      <c r="L144" s="1" t="s">
        <v>834</v>
      </c>
      <c r="M144">
        <v>0</v>
      </c>
      <c r="N144">
        <v>1</v>
      </c>
      <c r="O144">
        <v>1</v>
      </c>
      <c r="P144">
        <v>1</v>
      </c>
      <c r="Q144">
        <v>1</v>
      </c>
      <c r="R144" s="1" t="s">
        <v>445</v>
      </c>
      <c r="S144" s="1" t="s">
        <v>140</v>
      </c>
    </row>
    <row r="145" spans="1:19" x14ac:dyDescent="0.25">
      <c r="A145" s="1" t="s">
        <v>212</v>
      </c>
      <c r="B145" s="1" t="s">
        <v>270</v>
      </c>
      <c r="C145" s="1" t="s">
        <v>385</v>
      </c>
      <c r="D145" s="1" t="s">
        <v>835</v>
      </c>
      <c r="E145" s="1" t="s">
        <v>448</v>
      </c>
      <c r="F145" s="1" t="s">
        <v>387</v>
      </c>
      <c r="G145" s="1" t="s">
        <v>449</v>
      </c>
      <c r="H145" s="1" t="s">
        <v>450</v>
      </c>
      <c r="I145" s="1" t="s">
        <v>12</v>
      </c>
      <c r="J145" s="1" t="s">
        <v>451</v>
      </c>
      <c r="K145" s="1" t="s">
        <v>836</v>
      </c>
      <c r="L145" s="1" t="s">
        <v>837</v>
      </c>
      <c r="M145">
        <v>3</v>
      </c>
      <c r="N145">
        <v>1</v>
      </c>
      <c r="O145">
        <v>1</v>
      </c>
      <c r="P145">
        <v>1</v>
      </c>
      <c r="Q145">
        <v>1</v>
      </c>
      <c r="R145" s="1" t="s">
        <v>449</v>
      </c>
      <c r="S145" s="1" t="s">
        <v>140</v>
      </c>
    </row>
    <row r="146" spans="1:19" x14ac:dyDescent="0.25">
      <c r="A146" s="1" t="s">
        <v>212</v>
      </c>
      <c r="B146" s="1" t="s">
        <v>213</v>
      </c>
      <c r="C146" s="1" t="s">
        <v>214</v>
      </c>
      <c r="D146" s="1" t="s">
        <v>692</v>
      </c>
      <c r="E146" s="1" t="s">
        <v>215</v>
      </c>
      <c r="F146" s="1" t="s">
        <v>216</v>
      </c>
      <c r="G146" s="1" t="s">
        <v>452</v>
      </c>
      <c r="H146" s="1" t="s">
        <v>453</v>
      </c>
      <c r="I146" s="1" t="s">
        <v>11</v>
      </c>
      <c r="J146" s="1" t="s">
        <v>454</v>
      </c>
      <c r="K146" s="1" t="s">
        <v>838</v>
      </c>
      <c r="L146" s="1" t="s">
        <v>839</v>
      </c>
      <c r="M146">
        <v>0</v>
      </c>
      <c r="N146">
        <v>1</v>
      </c>
      <c r="O146">
        <v>1</v>
      </c>
      <c r="P146">
        <v>1</v>
      </c>
      <c r="Q146">
        <v>1</v>
      </c>
      <c r="R146" s="1" t="s">
        <v>452</v>
      </c>
      <c r="S146" s="1" t="s">
        <v>140</v>
      </c>
    </row>
    <row r="147" spans="1:19" x14ac:dyDescent="0.25">
      <c r="A147" s="1" t="s">
        <v>149</v>
      </c>
      <c r="B147" s="1" t="s">
        <v>170</v>
      </c>
      <c r="C147" s="1" t="s">
        <v>192</v>
      </c>
      <c r="D147" s="1" t="s">
        <v>682</v>
      </c>
      <c r="E147" s="1" t="s">
        <v>193</v>
      </c>
      <c r="F147" s="1" t="s">
        <v>194</v>
      </c>
      <c r="G147" s="1" t="s">
        <v>455</v>
      </c>
      <c r="H147" s="1" t="s">
        <v>360</v>
      </c>
      <c r="I147" s="1" t="s">
        <v>51</v>
      </c>
      <c r="J147" s="1" t="s">
        <v>456</v>
      </c>
      <c r="K147" s="1" t="s">
        <v>840</v>
      </c>
      <c r="L147" s="1" t="s">
        <v>1216</v>
      </c>
      <c r="M147">
        <v>35</v>
      </c>
      <c r="N147">
        <v>0</v>
      </c>
      <c r="O147">
        <v>0</v>
      </c>
      <c r="P147">
        <v>1</v>
      </c>
      <c r="Q147">
        <v>1</v>
      </c>
      <c r="R147" s="1" t="s">
        <v>455</v>
      </c>
      <c r="S147" s="1" t="s">
        <v>140</v>
      </c>
    </row>
    <row r="148" spans="1:19" x14ac:dyDescent="0.25">
      <c r="A148" s="1" t="s">
        <v>149</v>
      </c>
      <c r="B148" s="1" t="s">
        <v>150</v>
      </c>
      <c r="C148" s="1" t="s">
        <v>407</v>
      </c>
      <c r="D148" s="1" t="s">
        <v>810</v>
      </c>
      <c r="E148" s="1" t="s">
        <v>408</v>
      </c>
      <c r="F148" s="1" t="s">
        <v>409</v>
      </c>
      <c r="G148" s="1" t="s">
        <v>457</v>
      </c>
      <c r="H148" s="1" t="s">
        <v>458</v>
      </c>
      <c r="I148" s="1" t="s">
        <v>75</v>
      </c>
      <c r="J148" s="1" t="s">
        <v>459</v>
      </c>
      <c r="K148" s="1" t="s">
        <v>841</v>
      </c>
      <c r="L148" s="1" t="s">
        <v>842</v>
      </c>
      <c r="M148">
        <v>1</v>
      </c>
      <c r="N148">
        <v>1</v>
      </c>
      <c r="O148">
        <v>1</v>
      </c>
      <c r="P148">
        <v>1</v>
      </c>
      <c r="Q148">
        <v>1</v>
      </c>
      <c r="R148" s="1" t="s">
        <v>457</v>
      </c>
      <c r="S148" s="1" t="s">
        <v>140</v>
      </c>
    </row>
    <row r="149" spans="1:19" x14ac:dyDescent="0.25">
      <c r="A149" s="1" t="s">
        <v>178</v>
      </c>
      <c r="B149" s="1" t="s">
        <v>315</v>
      </c>
      <c r="C149" s="1" t="s">
        <v>316</v>
      </c>
      <c r="D149" s="1" t="s">
        <v>750</v>
      </c>
      <c r="E149" s="1" t="s">
        <v>317</v>
      </c>
      <c r="F149" s="1" t="s">
        <v>318</v>
      </c>
      <c r="G149" s="1" t="s">
        <v>460</v>
      </c>
      <c r="H149" s="1" t="s">
        <v>461</v>
      </c>
      <c r="I149" s="1" t="s">
        <v>29</v>
      </c>
      <c r="J149" s="1" t="s">
        <v>462</v>
      </c>
      <c r="K149" s="1" t="s">
        <v>843</v>
      </c>
      <c r="L149" s="1" t="s">
        <v>844</v>
      </c>
      <c r="M149">
        <v>4</v>
      </c>
      <c r="N149">
        <v>0</v>
      </c>
      <c r="O149">
        <v>1</v>
      </c>
      <c r="P149">
        <v>1</v>
      </c>
      <c r="Q149">
        <v>1</v>
      </c>
      <c r="R149" s="1" t="s">
        <v>460</v>
      </c>
      <c r="S149" s="1" t="s">
        <v>140</v>
      </c>
    </row>
    <row r="150" spans="1:19" x14ac:dyDescent="0.25">
      <c r="A150" s="1" t="s">
        <v>178</v>
      </c>
      <c r="B150" s="1" t="s">
        <v>315</v>
      </c>
      <c r="C150" s="1" t="s">
        <v>338</v>
      </c>
      <c r="D150" s="1" t="s">
        <v>765</v>
      </c>
      <c r="E150" s="1" t="s">
        <v>339</v>
      </c>
      <c r="F150" s="1" t="s">
        <v>331</v>
      </c>
      <c r="G150" s="1" t="s">
        <v>463</v>
      </c>
      <c r="H150" s="1" t="s">
        <v>464</v>
      </c>
      <c r="I150" s="1" t="s">
        <v>49</v>
      </c>
      <c r="J150" s="1" t="s">
        <v>465</v>
      </c>
      <c r="K150" s="1" t="s">
        <v>845</v>
      </c>
      <c r="L150" s="1" t="s">
        <v>846</v>
      </c>
      <c r="M150">
        <v>0</v>
      </c>
      <c r="N150">
        <v>1</v>
      </c>
      <c r="O150">
        <v>1</v>
      </c>
      <c r="P150">
        <v>1</v>
      </c>
      <c r="Q150">
        <v>1</v>
      </c>
      <c r="R150" s="1" t="s">
        <v>463</v>
      </c>
      <c r="S150" s="1" t="s">
        <v>140</v>
      </c>
    </row>
    <row r="151" spans="1:19" x14ac:dyDescent="0.25">
      <c r="A151" s="1" t="s">
        <v>212</v>
      </c>
      <c r="B151" s="1" t="s">
        <v>270</v>
      </c>
      <c r="C151" s="1" t="s">
        <v>271</v>
      </c>
      <c r="D151" s="1" t="s">
        <v>723</v>
      </c>
      <c r="E151" s="1" t="s">
        <v>272</v>
      </c>
      <c r="F151" s="1" t="s">
        <v>273</v>
      </c>
      <c r="G151" s="1" t="s">
        <v>466</v>
      </c>
      <c r="H151" s="1" t="s">
        <v>467</v>
      </c>
      <c r="I151" s="1" t="s">
        <v>61</v>
      </c>
      <c r="J151" s="1" t="s">
        <v>468</v>
      </c>
      <c r="K151" s="1" t="s">
        <v>847</v>
      </c>
      <c r="L151" s="1" t="s">
        <v>848</v>
      </c>
      <c r="M151">
        <v>3</v>
      </c>
      <c r="N151">
        <v>1</v>
      </c>
      <c r="O151">
        <v>1</v>
      </c>
      <c r="P151">
        <v>1</v>
      </c>
      <c r="Q151">
        <v>1</v>
      </c>
      <c r="R151" s="1" t="s">
        <v>466</v>
      </c>
      <c r="S151" s="1" t="s">
        <v>140</v>
      </c>
    </row>
    <row r="152" spans="1:19" x14ac:dyDescent="0.25">
      <c r="A152" s="1" t="s">
        <v>212</v>
      </c>
      <c r="B152" s="1" t="s">
        <v>270</v>
      </c>
      <c r="C152" s="1" t="s">
        <v>293</v>
      </c>
      <c r="D152" s="1" t="s">
        <v>736</v>
      </c>
      <c r="E152" s="1" t="s">
        <v>294</v>
      </c>
      <c r="F152" s="1" t="s">
        <v>273</v>
      </c>
      <c r="G152" s="1" t="s">
        <v>469</v>
      </c>
      <c r="H152" s="1" t="s">
        <v>362</v>
      </c>
      <c r="I152" s="1" t="s">
        <v>50</v>
      </c>
      <c r="J152" s="1" t="s">
        <v>470</v>
      </c>
      <c r="K152" s="1" t="s">
        <v>849</v>
      </c>
      <c r="L152" s="1" t="s">
        <v>850</v>
      </c>
      <c r="M152">
        <v>2</v>
      </c>
      <c r="N152">
        <v>1</v>
      </c>
      <c r="O152">
        <v>1</v>
      </c>
      <c r="P152">
        <v>1</v>
      </c>
      <c r="Q152">
        <v>1</v>
      </c>
      <c r="R152" s="1" t="s">
        <v>469</v>
      </c>
      <c r="S152" s="1" t="s">
        <v>140</v>
      </c>
    </row>
    <row r="153" spans="1:19" x14ac:dyDescent="0.25">
      <c r="A153" s="1" t="s">
        <v>178</v>
      </c>
      <c r="B153" s="1" t="s">
        <v>179</v>
      </c>
      <c r="C153" s="1" t="s">
        <v>180</v>
      </c>
      <c r="D153" s="1" t="s">
        <v>676</v>
      </c>
      <c r="E153" s="1" t="s">
        <v>181</v>
      </c>
      <c r="F153" s="1" t="s">
        <v>182</v>
      </c>
      <c r="G153" s="1" t="s">
        <v>471</v>
      </c>
      <c r="H153" s="1" t="s">
        <v>472</v>
      </c>
      <c r="I153" s="1" t="s">
        <v>64</v>
      </c>
      <c r="J153" s="1" t="s">
        <v>473</v>
      </c>
      <c r="K153" s="1" t="s">
        <v>851</v>
      </c>
      <c r="L153" s="1" t="s">
        <v>852</v>
      </c>
      <c r="M153">
        <v>1</v>
      </c>
      <c r="N153">
        <v>1</v>
      </c>
      <c r="O153">
        <v>1</v>
      </c>
      <c r="P153">
        <v>1</v>
      </c>
      <c r="Q153">
        <v>1</v>
      </c>
      <c r="R153" s="1" t="s">
        <v>471</v>
      </c>
      <c r="S153" s="1" t="s">
        <v>140</v>
      </c>
    </row>
    <row r="154" spans="1:19" x14ac:dyDescent="0.25">
      <c r="A154" s="1" t="s">
        <v>212</v>
      </c>
      <c r="B154" s="1" t="s">
        <v>474</v>
      </c>
      <c r="C154" s="1" t="s">
        <v>475</v>
      </c>
      <c r="D154" s="1" t="s">
        <v>853</v>
      </c>
      <c r="E154" s="1" t="s">
        <v>476</v>
      </c>
      <c r="F154" s="1" t="s">
        <v>477</v>
      </c>
      <c r="G154" s="1" t="s">
        <v>478</v>
      </c>
      <c r="H154" s="1" t="s">
        <v>479</v>
      </c>
      <c r="I154" s="1" t="s">
        <v>26</v>
      </c>
      <c r="J154" s="1" t="s">
        <v>480</v>
      </c>
      <c r="K154" s="1" t="s">
        <v>854</v>
      </c>
      <c r="L154" s="1" t="s">
        <v>855</v>
      </c>
      <c r="M154">
        <v>7</v>
      </c>
      <c r="N154">
        <v>0</v>
      </c>
      <c r="O154">
        <v>1</v>
      </c>
      <c r="P154">
        <v>1</v>
      </c>
      <c r="Q154">
        <v>1</v>
      </c>
      <c r="R154" s="1" t="s">
        <v>478</v>
      </c>
      <c r="S154" s="1" t="s">
        <v>140</v>
      </c>
    </row>
    <row r="155" spans="1:19" x14ac:dyDescent="0.25">
      <c r="A155" s="1" t="s">
        <v>149</v>
      </c>
      <c r="B155" s="1" t="s">
        <v>150</v>
      </c>
      <c r="C155" s="1" t="s">
        <v>151</v>
      </c>
      <c r="D155" s="1" t="s">
        <v>664</v>
      </c>
      <c r="E155" s="1" t="s">
        <v>152</v>
      </c>
      <c r="F155" s="1" t="s">
        <v>153</v>
      </c>
      <c r="G155" s="1" t="s">
        <v>502</v>
      </c>
      <c r="H155" s="1" t="s">
        <v>482</v>
      </c>
      <c r="I155" s="1" t="s">
        <v>28</v>
      </c>
      <c r="J155" s="1" t="s">
        <v>483</v>
      </c>
      <c r="K155" s="1" t="s">
        <v>856</v>
      </c>
      <c r="L155" s="1" t="s">
        <v>198</v>
      </c>
      <c r="M155" t="s">
        <v>198</v>
      </c>
      <c r="N155">
        <v>0</v>
      </c>
      <c r="O155">
        <v>0</v>
      </c>
      <c r="P155">
        <v>1</v>
      </c>
      <c r="Q155">
        <v>0</v>
      </c>
      <c r="R155" s="1" t="s">
        <v>198</v>
      </c>
      <c r="S155" s="1" t="s">
        <v>140</v>
      </c>
    </row>
    <row r="156" spans="1:19" x14ac:dyDescent="0.25">
      <c r="A156" s="1" t="s">
        <v>149</v>
      </c>
      <c r="B156" s="1" t="s">
        <v>170</v>
      </c>
      <c r="C156" s="1" t="s">
        <v>247</v>
      </c>
      <c r="D156" s="1" t="s">
        <v>857</v>
      </c>
      <c r="E156" s="1" t="s">
        <v>484</v>
      </c>
      <c r="F156" s="1" t="s">
        <v>249</v>
      </c>
      <c r="G156" s="1" t="s">
        <v>485</v>
      </c>
      <c r="H156" s="1" t="s">
        <v>486</v>
      </c>
      <c r="I156" s="1" t="s">
        <v>57</v>
      </c>
      <c r="J156" s="1" t="s">
        <v>487</v>
      </c>
      <c r="K156" s="1" t="s">
        <v>858</v>
      </c>
      <c r="L156" s="1" t="s">
        <v>859</v>
      </c>
      <c r="M156">
        <v>2</v>
      </c>
      <c r="N156">
        <v>1</v>
      </c>
      <c r="O156">
        <v>1</v>
      </c>
      <c r="P156">
        <v>1</v>
      </c>
      <c r="Q156">
        <v>1</v>
      </c>
      <c r="R156" s="1" t="s">
        <v>485</v>
      </c>
      <c r="S156" s="1" t="s">
        <v>140</v>
      </c>
    </row>
    <row r="157" spans="1:19" x14ac:dyDescent="0.25">
      <c r="A157" s="1" t="s">
        <v>149</v>
      </c>
      <c r="B157" s="1" t="s">
        <v>170</v>
      </c>
      <c r="C157" s="1" t="s">
        <v>416</v>
      </c>
      <c r="D157" s="1" t="s">
        <v>815</v>
      </c>
      <c r="E157" s="1" t="s">
        <v>417</v>
      </c>
      <c r="F157" s="1" t="s">
        <v>418</v>
      </c>
      <c r="G157" s="1" t="s">
        <v>488</v>
      </c>
      <c r="H157" s="1" t="s">
        <v>489</v>
      </c>
      <c r="I157" s="1" t="s">
        <v>22</v>
      </c>
      <c r="J157" s="1" t="s">
        <v>490</v>
      </c>
      <c r="K157" s="1" t="s">
        <v>860</v>
      </c>
      <c r="L157" s="1" t="s">
        <v>861</v>
      </c>
      <c r="M157">
        <v>0</v>
      </c>
      <c r="N157">
        <v>1</v>
      </c>
      <c r="O157">
        <v>1</v>
      </c>
      <c r="P157">
        <v>1</v>
      </c>
      <c r="Q157">
        <v>1</v>
      </c>
      <c r="R157" s="1" t="s">
        <v>488</v>
      </c>
      <c r="S157" s="1" t="s">
        <v>140</v>
      </c>
    </row>
    <row r="158" spans="1:19" x14ac:dyDescent="0.25">
      <c r="A158" s="1" t="s">
        <v>212</v>
      </c>
      <c r="B158" s="1" t="s">
        <v>270</v>
      </c>
      <c r="C158" s="1" t="s">
        <v>271</v>
      </c>
      <c r="D158" s="1" t="s">
        <v>723</v>
      </c>
      <c r="E158" s="1" t="s">
        <v>272</v>
      </c>
      <c r="F158" s="1" t="s">
        <v>273</v>
      </c>
      <c r="G158" s="1" t="s">
        <v>491</v>
      </c>
      <c r="H158" s="1" t="s">
        <v>492</v>
      </c>
      <c r="I158" s="1" t="s">
        <v>48</v>
      </c>
      <c r="J158" s="1" t="s">
        <v>493</v>
      </c>
      <c r="K158" s="1" t="s">
        <v>862</v>
      </c>
      <c r="L158" s="1" t="s">
        <v>863</v>
      </c>
      <c r="M158">
        <v>1</v>
      </c>
      <c r="N158">
        <v>1</v>
      </c>
      <c r="O158">
        <v>1</v>
      </c>
      <c r="P158">
        <v>1</v>
      </c>
      <c r="Q158">
        <v>1</v>
      </c>
      <c r="R158" s="1" t="s">
        <v>491</v>
      </c>
      <c r="S158" s="1" t="s">
        <v>140</v>
      </c>
    </row>
    <row r="159" spans="1:19" x14ac:dyDescent="0.25">
      <c r="A159" s="1" t="s">
        <v>149</v>
      </c>
      <c r="B159" s="1" t="s">
        <v>150</v>
      </c>
      <c r="C159" s="1" t="s">
        <v>264</v>
      </c>
      <c r="D159" s="1" t="s">
        <v>753</v>
      </c>
      <c r="E159" s="1" t="s">
        <v>321</v>
      </c>
      <c r="F159" s="1" t="s">
        <v>266</v>
      </c>
      <c r="G159" s="1" t="s">
        <v>494</v>
      </c>
      <c r="H159" s="1" t="s">
        <v>495</v>
      </c>
      <c r="I159" s="1" t="s">
        <v>69</v>
      </c>
      <c r="J159" s="1" t="s">
        <v>496</v>
      </c>
      <c r="K159" s="1" t="s">
        <v>864</v>
      </c>
      <c r="L159" s="1" t="s">
        <v>865</v>
      </c>
      <c r="M159">
        <v>0</v>
      </c>
      <c r="N159">
        <v>1</v>
      </c>
      <c r="O159">
        <v>1</v>
      </c>
      <c r="P159">
        <v>1</v>
      </c>
      <c r="Q159">
        <v>1</v>
      </c>
      <c r="R159" s="1" t="s">
        <v>494</v>
      </c>
      <c r="S159" s="1" t="s">
        <v>140</v>
      </c>
    </row>
    <row r="160" spans="1:19" x14ac:dyDescent="0.25">
      <c r="A160" s="1" t="s">
        <v>149</v>
      </c>
      <c r="B160" s="1" t="s">
        <v>150</v>
      </c>
      <c r="C160" s="1" t="s">
        <v>264</v>
      </c>
      <c r="D160" s="1" t="s">
        <v>866</v>
      </c>
      <c r="E160" s="1" t="s">
        <v>497</v>
      </c>
      <c r="F160" s="1" t="s">
        <v>498</v>
      </c>
      <c r="G160" s="1" t="s">
        <v>499</v>
      </c>
      <c r="H160" s="1" t="s">
        <v>500</v>
      </c>
      <c r="I160" s="1" t="s">
        <v>46</v>
      </c>
      <c r="J160" s="1" t="s">
        <v>501</v>
      </c>
      <c r="K160" s="1" t="s">
        <v>867</v>
      </c>
      <c r="L160" s="1" t="s">
        <v>198</v>
      </c>
      <c r="M160" t="s">
        <v>198</v>
      </c>
      <c r="N160">
        <v>0</v>
      </c>
      <c r="O160">
        <v>0</v>
      </c>
      <c r="P160">
        <v>1</v>
      </c>
      <c r="Q160">
        <v>0</v>
      </c>
      <c r="R160" s="1" t="s">
        <v>198</v>
      </c>
      <c r="S160" s="1" t="s">
        <v>140</v>
      </c>
    </row>
    <row r="161" spans="1:19" x14ac:dyDescent="0.25">
      <c r="A161" s="1" t="s">
        <v>212</v>
      </c>
      <c r="B161" s="1" t="s">
        <v>213</v>
      </c>
      <c r="C161" s="1" t="s">
        <v>375</v>
      </c>
      <c r="D161" s="1" t="s">
        <v>790</v>
      </c>
      <c r="E161" s="1" t="s">
        <v>376</v>
      </c>
      <c r="F161" s="1" t="s">
        <v>377</v>
      </c>
      <c r="G161" s="1" t="s">
        <v>502</v>
      </c>
      <c r="H161" s="1" t="s">
        <v>383</v>
      </c>
      <c r="I161" s="1" t="s">
        <v>79</v>
      </c>
      <c r="J161" s="1" t="s">
        <v>503</v>
      </c>
      <c r="K161" s="1" t="s">
        <v>868</v>
      </c>
      <c r="L161" s="1" t="s">
        <v>198</v>
      </c>
      <c r="M161" t="s">
        <v>198</v>
      </c>
      <c r="N161">
        <v>0</v>
      </c>
      <c r="O161">
        <v>0</v>
      </c>
      <c r="P161">
        <v>1</v>
      </c>
      <c r="Q161">
        <v>0</v>
      </c>
      <c r="R161" s="1" t="s">
        <v>198</v>
      </c>
      <c r="S161" s="1" t="s">
        <v>140</v>
      </c>
    </row>
    <row r="162" spans="1:19" x14ac:dyDescent="0.25">
      <c r="A162" s="1" t="s">
        <v>149</v>
      </c>
      <c r="B162" s="1" t="s">
        <v>150</v>
      </c>
      <c r="C162" s="1" t="s">
        <v>158</v>
      </c>
      <c r="D162" s="1" t="s">
        <v>670</v>
      </c>
      <c r="E162" s="1" t="s">
        <v>165</v>
      </c>
      <c r="F162" s="1" t="s">
        <v>160</v>
      </c>
      <c r="G162" s="1" t="s">
        <v>504</v>
      </c>
      <c r="H162" s="1" t="s">
        <v>505</v>
      </c>
      <c r="I162" s="1" t="s">
        <v>15</v>
      </c>
      <c r="J162" s="1" t="s">
        <v>506</v>
      </c>
      <c r="K162" s="1" t="s">
        <v>869</v>
      </c>
      <c r="L162" s="1" t="s">
        <v>870</v>
      </c>
      <c r="M162">
        <v>4</v>
      </c>
      <c r="N162">
        <v>0</v>
      </c>
      <c r="O162">
        <v>1</v>
      </c>
      <c r="P162">
        <v>1</v>
      </c>
      <c r="Q162">
        <v>1</v>
      </c>
      <c r="R162" s="1" t="s">
        <v>504</v>
      </c>
      <c r="S162" s="1" t="s">
        <v>140</v>
      </c>
    </row>
    <row r="163" spans="1:19" x14ac:dyDescent="0.25">
      <c r="A163" s="1" t="s">
        <v>141</v>
      </c>
      <c r="B163" s="1" t="s">
        <v>142</v>
      </c>
      <c r="C163" s="1" t="s">
        <v>143</v>
      </c>
      <c r="D163" s="1" t="s">
        <v>661</v>
      </c>
      <c r="E163" s="1" t="s">
        <v>144</v>
      </c>
      <c r="F163" s="1" t="s">
        <v>145</v>
      </c>
      <c r="G163" s="1" t="s">
        <v>507</v>
      </c>
      <c r="H163" s="1" t="s">
        <v>508</v>
      </c>
      <c r="I163" s="1" t="s">
        <v>43</v>
      </c>
      <c r="J163" s="1" t="s">
        <v>509</v>
      </c>
      <c r="K163" s="1" t="s">
        <v>871</v>
      </c>
      <c r="L163" s="1" t="s">
        <v>872</v>
      </c>
      <c r="M163">
        <v>0</v>
      </c>
      <c r="N163">
        <v>1</v>
      </c>
      <c r="O163">
        <v>1</v>
      </c>
      <c r="P163">
        <v>1</v>
      </c>
      <c r="Q163">
        <v>1</v>
      </c>
      <c r="R163" s="1" t="s">
        <v>507</v>
      </c>
      <c r="S163" s="1" t="s">
        <v>140</v>
      </c>
    </row>
    <row r="164" spans="1:19" x14ac:dyDescent="0.25">
      <c r="A164" s="1" t="s">
        <v>149</v>
      </c>
      <c r="B164" s="1" t="s">
        <v>150</v>
      </c>
      <c r="C164" s="1" t="s">
        <v>151</v>
      </c>
      <c r="D164" s="1" t="s">
        <v>695</v>
      </c>
      <c r="E164" s="1" t="s">
        <v>220</v>
      </c>
      <c r="F164" s="1" t="s">
        <v>153</v>
      </c>
      <c r="G164" s="1" t="s">
        <v>510</v>
      </c>
      <c r="H164" s="1" t="s">
        <v>511</v>
      </c>
      <c r="I164" s="1" t="s">
        <v>36</v>
      </c>
      <c r="J164" s="1" t="s">
        <v>512</v>
      </c>
      <c r="K164" s="1" t="s">
        <v>873</v>
      </c>
      <c r="L164" s="1" t="s">
        <v>874</v>
      </c>
      <c r="M164">
        <v>0</v>
      </c>
      <c r="N164">
        <v>1</v>
      </c>
      <c r="O164">
        <v>1</v>
      </c>
      <c r="P164">
        <v>1</v>
      </c>
      <c r="Q164">
        <v>1</v>
      </c>
      <c r="R164" s="1" t="s">
        <v>510</v>
      </c>
      <c r="S164" s="1" t="s">
        <v>140</v>
      </c>
    </row>
    <row r="165" spans="1:19" x14ac:dyDescent="0.25">
      <c r="A165" s="1" t="s">
        <v>149</v>
      </c>
      <c r="B165" s="1" t="s">
        <v>150</v>
      </c>
      <c r="C165" s="1" t="s">
        <v>151</v>
      </c>
      <c r="D165" s="1" t="s">
        <v>664</v>
      </c>
      <c r="E165" s="1" t="s">
        <v>152</v>
      </c>
      <c r="F165" s="1" t="s">
        <v>153</v>
      </c>
      <c r="G165" s="1" t="s">
        <v>513</v>
      </c>
      <c r="H165" s="1" t="s">
        <v>514</v>
      </c>
      <c r="I165" s="1" t="s">
        <v>42</v>
      </c>
      <c r="J165" s="1" t="s">
        <v>515</v>
      </c>
      <c r="K165" s="1" t="s">
        <v>875</v>
      </c>
      <c r="L165" s="1" t="s">
        <v>876</v>
      </c>
      <c r="M165">
        <v>4</v>
      </c>
      <c r="N165">
        <v>0</v>
      </c>
      <c r="O165">
        <v>1</v>
      </c>
      <c r="P165">
        <v>1</v>
      </c>
      <c r="Q165">
        <v>1</v>
      </c>
      <c r="R165" s="1" t="s">
        <v>513</v>
      </c>
      <c r="S165" s="1" t="s">
        <v>140</v>
      </c>
    </row>
    <row r="166" spans="1:19" x14ac:dyDescent="0.25">
      <c r="A166" s="1" t="s">
        <v>178</v>
      </c>
      <c r="B166" s="1" t="s">
        <v>179</v>
      </c>
      <c r="C166" s="1" t="s">
        <v>187</v>
      </c>
      <c r="D166" s="1" t="s">
        <v>730</v>
      </c>
      <c r="E166" s="1" t="s">
        <v>283</v>
      </c>
      <c r="F166" s="1" t="s">
        <v>189</v>
      </c>
      <c r="G166" s="1" t="s">
        <v>516</v>
      </c>
      <c r="H166" s="1" t="s">
        <v>517</v>
      </c>
      <c r="I166" s="1" t="s">
        <v>6</v>
      </c>
      <c r="J166" s="1" t="s">
        <v>518</v>
      </c>
      <c r="K166" s="1" t="s">
        <v>877</v>
      </c>
      <c r="L166" s="1" t="s">
        <v>878</v>
      </c>
      <c r="M166">
        <v>0</v>
      </c>
      <c r="N166">
        <v>1</v>
      </c>
      <c r="O166">
        <v>1</v>
      </c>
      <c r="P166">
        <v>1</v>
      </c>
      <c r="Q166">
        <v>1</v>
      </c>
      <c r="R166" s="1" t="s">
        <v>516</v>
      </c>
      <c r="S166" s="1" t="s">
        <v>140</v>
      </c>
    </row>
    <row r="167" spans="1:19" x14ac:dyDescent="0.25">
      <c r="A167" s="1" t="s">
        <v>212</v>
      </c>
      <c r="B167" s="1" t="s">
        <v>213</v>
      </c>
      <c r="C167" s="1" t="s">
        <v>214</v>
      </c>
      <c r="D167" s="1" t="s">
        <v>744</v>
      </c>
      <c r="E167" s="1" t="s">
        <v>305</v>
      </c>
      <c r="F167" s="1" t="s">
        <v>216</v>
      </c>
      <c r="G167" s="1" t="s">
        <v>519</v>
      </c>
      <c r="H167" s="1" t="s">
        <v>520</v>
      </c>
      <c r="I167" s="1" t="s">
        <v>7</v>
      </c>
      <c r="J167" s="1" t="s">
        <v>521</v>
      </c>
      <c r="K167" s="1" t="s">
        <v>879</v>
      </c>
      <c r="L167" s="1" t="s">
        <v>880</v>
      </c>
      <c r="M167">
        <v>0</v>
      </c>
      <c r="N167">
        <v>1</v>
      </c>
      <c r="O167">
        <v>1</v>
      </c>
      <c r="P167">
        <v>1</v>
      </c>
      <c r="Q167">
        <v>1</v>
      </c>
      <c r="R167" s="1" t="s">
        <v>519</v>
      </c>
      <c r="S167" s="1" t="s">
        <v>140</v>
      </c>
    </row>
    <row r="168" spans="1:19" x14ac:dyDescent="0.25">
      <c r="A168" s="1" t="s">
        <v>149</v>
      </c>
      <c r="B168" s="1" t="s">
        <v>150</v>
      </c>
      <c r="C168" s="1" t="s">
        <v>407</v>
      </c>
      <c r="D168" s="1" t="s">
        <v>820</v>
      </c>
      <c r="E168" s="1" t="s">
        <v>425</v>
      </c>
      <c r="F168" s="1" t="s">
        <v>409</v>
      </c>
      <c r="G168" s="1" t="s">
        <v>522</v>
      </c>
      <c r="H168" s="1" t="s">
        <v>523</v>
      </c>
      <c r="I168" s="1" t="s">
        <v>13</v>
      </c>
      <c r="J168" s="1" t="s">
        <v>524</v>
      </c>
      <c r="K168" s="1" t="s">
        <v>881</v>
      </c>
      <c r="L168" s="1" t="s">
        <v>882</v>
      </c>
      <c r="M168">
        <v>0</v>
      </c>
      <c r="N168">
        <v>1</v>
      </c>
      <c r="O168">
        <v>1</v>
      </c>
      <c r="P168">
        <v>1</v>
      </c>
      <c r="Q168">
        <v>1</v>
      </c>
      <c r="R168" s="1" t="s">
        <v>522</v>
      </c>
      <c r="S168" s="1" t="s">
        <v>140</v>
      </c>
    </row>
    <row r="169" spans="1:19" x14ac:dyDescent="0.25">
      <c r="A169" s="1" t="s">
        <v>212</v>
      </c>
      <c r="B169" s="1" t="s">
        <v>270</v>
      </c>
      <c r="C169" s="1" t="s">
        <v>525</v>
      </c>
      <c r="D169" s="1" t="s">
        <v>883</v>
      </c>
      <c r="E169" s="1" t="s">
        <v>526</v>
      </c>
      <c r="F169" s="1" t="s">
        <v>527</v>
      </c>
      <c r="G169" s="1" t="s">
        <v>528</v>
      </c>
      <c r="H169" s="1" t="s">
        <v>529</v>
      </c>
      <c r="I169" s="1" t="s">
        <v>95</v>
      </c>
      <c r="J169" s="1" t="s">
        <v>530</v>
      </c>
      <c r="K169" s="1" t="s">
        <v>884</v>
      </c>
      <c r="L169" s="1" t="s">
        <v>885</v>
      </c>
      <c r="M169">
        <v>4</v>
      </c>
      <c r="N169">
        <v>0</v>
      </c>
      <c r="O169">
        <v>1</v>
      </c>
      <c r="P169">
        <v>1</v>
      </c>
      <c r="Q169">
        <v>1</v>
      </c>
      <c r="R169" s="1" t="s">
        <v>528</v>
      </c>
      <c r="S169" s="1" t="s">
        <v>140</v>
      </c>
    </row>
    <row r="170" spans="1:19" x14ac:dyDescent="0.25">
      <c r="A170" s="1" t="s">
        <v>149</v>
      </c>
      <c r="B170" s="1" t="s">
        <v>150</v>
      </c>
      <c r="C170" s="1" t="s">
        <v>407</v>
      </c>
      <c r="D170" s="1" t="s">
        <v>810</v>
      </c>
      <c r="E170" s="1" t="s">
        <v>408</v>
      </c>
      <c r="F170" s="1" t="s">
        <v>409</v>
      </c>
      <c r="G170" s="1" t="s">
        <v>531</v>
      </c>
      <c r="H170" s="1" t="s">
        <v>532</v>
      </c>
      <c r="I170" s="1" t="s">
        <v>14</v>
      </c>
      <c r="J170" s="1" t="s">
        <v>533</v>
      </c>
      <c r="K170" s="1" t="s">
        <v>886</v>
      </c>
      <c r="L170" s="1" t="s">
        <v>887</v>
      </c>
      <c r="M170">
        <v>3</v>
      </c>
      <c r="N170">
        <v>1</v>
      </c>
      <c r="O170">
        <v>1</v>
      </c>
      <c r="P170">
        <v>1</v>
      </c>
      <c r="Q170">
        <v>1</v>
      </c>
      <c r="R170" s="1" t="s">
        <v>531</v>
      </c>
      <c r="S170" s="1" t="s">
        <v>140</v>
      </c>
    </row>
    <row r="171" spans="1:19" x14ac:dyDescent="0.25">
      <c r="A171" s="1" t="s">
        <v>141</v>
      </c>
      <c r="B171" s="1" t="s">
        <v>142</v>
      </c>
      <c r="C171" s="1" t="s">
        <v>143</v>
      </c>
      <c r="D171" s="1" t="s">
        <v>741</v>
      </c>
      <c r="E171" s="1" t="s">
        <v>301</v>
      </c>
      <c r="F171" s="1" t="s">
        <v>145</v>
      </c>
      <c r="G171" s="1" t="s">
        <v>534</v>
      </c>
      <c r="H171" s="1" t="s">
        <v>535</v>
      </c>
      <c r="I171" s="1" t="s">
        <v>32</v>
      </c>
      <c r="J171" s="1" t="s">
        <v>536</v>
      </c>
      <c r="K171" s="1" t="s">
        <v>888</v>
      </c>
      <c r="L171" s="1" t="s">
        <v>889</v>
      </c>
      <c r="M171">
        <v>0</v>
      </c>
      <c r="N171">
        <v>1</v>
      </c>
      <c r="O171">
        <v>1</v>
      </c>
      <c r="P171">
        <v>1</v>
      </c>
      <c r="Q171">
        <v>1</v>
      </c>
      <c r="R171" s="1" t="s">
        <v>534</v>
      </c>
      <c r="S171" s="1" t="s">
        <v>140</v>
      </c>
    </row>
    <row r="172" spans="1:19" x14ac:dyDescent="0.25">
      <c r="A172" s="1" t="s">
        <v>178</v>
      </c>
      <c r="B172" s="1" t="s">
        <v>179</v>
      </c>
      <c r="C172" s="1" t="s">
        <v>187</v>
      </c>
      <c r="D172" s="1" t="s">
        <v>679</v>
      </c>
      <c r="E172" s="1" t="s">
        <v>188</v>
      </c>
      <c r="F172" s="1" t="s">
        <v>189</v>
      </c>
      <c r="G172" s="1" t="s">
        <v>537</v>
      </c>
      <c r="H172" s="1" t="s">
        <v>538</v>
      </c>
      <c r="I172" s="1" t="s">
        <v>19</v>
      </c>
      <c r="J172" s="1" t="s">
        <v>539</v>
      </c>
      <c r="K172" s="1" t="s">
        <v>890</v>
      </c>
      <c r="L172" s="1" t="s">
        <v>891</v>
      </c>
      <c r="M172">
        <v>11</v>
      </c>
      <c r="N172">
        <v>0</v>
      </c>
      <c r="O172">
        <v>0</v>
      </c>
      <c r="P172">
        <v>1</v>
      </c>
      <c r="Q172">
        <v>1</v>
      </c>
      <c r="R172" s="1" t="s">
        <v>537</v>
      </c>
      <c r="S172" s="1" t="s">
        <v>140</v>
      </c>
    </row>
    <row r="173" spans="1:19" x14ac:dyDescent="0.25">
      <c r="A173" s="1" t="s">
        <v>149</v>
      </c>
      <c r="B173" s="1" t="s">
        <v>170</v>
      </c>
      <c r="C173" s="1" t="s">
        <v>416</v>
      </c>
      <c r="D173" s="1" t="s">
        <v>828</v>
      </c>
      <c r="E173" s="1" t="s">
        <v>438</v>
      </c>
      <c r="F173" s="1" t="s">
        <v>418</v>
      </c>
      <c r="G173" s="1" t="s">
        <v>540</v>
      </c>
      <c r="H173" s="1" t="s">
        <v>541</v>
      </c>
      <c r="I173" s="1" t="s">
        <v>35</v>
      </c>
      <c r="J173" s="1" t="s">
        <v>542</v>
      </c>
      <c r="K173" s="1" t="s">
        <v>892</v>
      </c>
      <c r="L173" s="1" t="s">
        <v>893</v>
      </c>
      <c r="M173">
        <v>0</v>
      </c>
      <c r="N173">
        <v>1</v>
      </c>
      <c r="O173">
        <v>1</v>
      </c>
      <c r="P173">
        <v>1</v>
      </c>
      <c r="Q173">
        <v>1</v>
      </c>
      <c r="R173" s="1" t="s">
        <v>540</v>
      </c>
      <c r="S173" s="1" t="s">
        <v>140</v>
      </c>
    </row>
    <row r="174" spans="1:19" x14ac:dyDescent="0.25">
      <c r="A174" s="1" t="s">
        <v>178</v>
      </c>
      <c r="B174" s="1" t="s">
        <v>179</v>
      </c>
      <c r="C174" s="1" t="s">
        <v>203</v>
      </c>
      <c r="D174" s="1" t="s">
        <v>687</v>
      </c>
      <c r="E174" s="1" t="s">
        <v>204</v>
      </c>
      <c r="F174" s="1" t="s">
        <v>205</v>
      </c>
      <c r="G174" s="1" t="s">
        <v>543</v>
      </c>
      <c r="H174" s="1" t="s">
        <v>544</v>
      </c>
      <c r="I174" s="1" t="s">
        <v>5</v>
      </c>
      <c r="J174" s="1" t="s">
        <v>545</v>
      </c>
      <c r="K174" s="1" t="s">
        <v>894</v>
      </c>
      <c r="L174" s="1" t="s">
        <v>895</v>
      </c>
      <c r="M174">
        <v>4</v>
      </c>
      <c r="N174">
        <v>0</v>
      </c>
      <c r="O174">
        <v>1</v>
      </c>
      <c r="P174">
        <v>1</v>
      </c>
      <c r="Q174">
        <v>1</v>
      </c>
      <c r="R174" s="1" t="s">
        <v>543</v>
      </c>
      <c r="S174" s="1" t="s">
        <v>140</v>
      </c>
    </row>
    <row r="175" spans="1:19" x14ac:dyDescent="0.25">
      <c r="A175" s="1" t="s">
        <v>178</v>
      </c>
      <c r="B175" s="1" t="s">
        <v>179</v>
      </c>
      <c r="C175" s="1" t="s">
        <v>329</v>
      </c>
      <c r="D175" s="1" t="s">
        <v>760</v>
      </c>
      <c r="E175" s="1" t="s">
        <v>330</v>
      </c>
      <c r="F175" s="1" t="s">
        <v>331</v>
      </c>
      <c r="G175" s="1" t="s">
        <v>546</v>
      </c>
      <c r="H175" s="1" t="s">
        <v>547</v>
      </c>
      <c r="I175" s="1" t="s">
        <v>4</v>
      </c>
      <c r="J175" s="1" t="s">
        <v>548</v>
      </c>
      <c r="K175" s="1" t="s">
        <v>896</v>
      </c>
      <c r="L175" s="1" t="s">
        <v>897</v>
      </c>
      <c r="M175">
        <v>0</v>
      </c>
      <c r="N175">
        <v>1</v>
      </c>
      <c r="O175">
        <v>1</v>
      </c>
      <c r="P175">
        <v>1</v>
      </c>
      <c r="Q175">
        <v>1</v>
      </c>
      <c r="R175" s="1" t="s">
        <v>546</v>
      </c>
      <c r="S175" s="1" t="s">
        <v>140</v>
      </c>
    </row>
    <row r="176" spans="1:19" x14ac:dyDescent="0.25">
      <c r="A176" s="1" t="s">
        <v>149</v>
      </c>
      <c r="B176" s="1" t="s">
        <v>150</v>
      </c>
      <c r="C176" s="1" t="s">
        <v>407</v>
      </c>
      <c r="D176" s="1" t="s">
        <v>820</v>
      </c>
      <c r="E176" s="1" t="s">
        <v>425</v>
      </c>
      <c r="F176" s="1" t="s">
        <v>409</v>
      </c>
      <c r="G176" s="1" t="s">
        <v>549</v>
      </c>
      <c r="H176" s="1" t="s">
        <v>550</v>
      </c>
      <c r="I176" s="1" t="s">
        <v>21</v>
      </c>
      <c r="J176" s="1" t="s">
        <v>551</v>
      </c>
      <c r="K176" s="1" t="s">
        <v>898</v>
      </c>
      <c r="L176" s="1" t="s">
        <v>899</v>
      </c>
      <c r="M176">
        <v>0</v>
      </c>
      <c r="N176">
        <v>1</v>
      </c>
      <c r="O176">
        <v>1</v>
      </c>
      <c r="P176">
        <v>1</v>
      </c>
      <c r="Q176">
        <v>1</v>
      </c>
      <c r="R176" s="1" t="s">
        <v>549</v>
      </c>
      <c r="S176" s="1" t="s">
        <v>140</v>
      </c>
    </row>
    <row r="177" spans="1:19" x14ac:dyDescent="0.25">
      <c r="A177" s="1" t="s">
        <v>149</v>
      </c>
      <c r="B177" s="1" t="s">
        <v>150</v>
      </c>
      <c r="C177" s="1" t="s">
        <v>264</v>
      </c>
      <c r="D177" s="1" t="s">
        <v>720</v>
      </c>
      <c r="E177" s="1" t="s">
        <v>265</v>
      </c>
      <c r="F177" s="1" t="s">
        <v>266</v>
      </c>
      <c r="G177" s="1" t="s">
        <v>552</v>
      </c>
      <c r="H177" s="1" t="s">
        <v>553</v>
      </c>
      <c r="I177" s="1" t="s">
        <v>34</v>
      </c>
      <c r="J177" s="1" t="s">
        <v>554</v>
      </c>
      <c r="K177" s="1" t="s">
        <v>900</v>
      </c>
      <c r="L177" s="1" t="s">
        <v>901</v>
      </c>
      <c r="M177">
        <v>2</v>
      </c>
      <c r="N177">
        <v>1</v>
      </c>
      <c r="O177">
        <v>1</v>
      </c>
      <c r="P177">
        <v>1</v>
      </c>
      <c r="Q177">
        <v>1</v>
      </c>
      <c r="R177" s="1" t="s">
        <v>552</v>
      </c>
      <c r="S177" s="1" t="s">
        <v>140</v>
      </c>
    </row>
    <row r="178" spans="1:19" x14ac:dyDescent="0.25">
      <c r="A178" s="1" t="s">
        <v>149</v>
      </c>
      <c r="B178" s="1" t="s">
        <v>150</v>
      </c>
      <c r="C178" s="1" t="s">
        <v>158</v>
      </c>
      <c r="D178" s="1" t="s">
        <v>667</v>
      </c>
      <c r="E178" s="1" t="s">
        <v>159</v>
      </c>
      <c r="F178" s="1" t="s">
        <v>160</v>
      </c>
      <c r="G178" s="1" t="s">
        <v>555</v>
      </c>
      <c r="H178" s="1" t="s">
        <v>556</v>
      </c>
      <c r="I178" s="1" t="s">
        <v>33</v>
      </c>
      <c r="J178" s="1" t="s">
        <v>557</v>
      </c>
      <c r="K178" s="1" t="s">
        <v>902</v>
      </c>
      <c r="L178" s="1" t="s">
        <v>903</v>
      </c>
      <c r="M178">
        <v>0</v>
      </c>
      <c r="N178">
        <v>1</v>
      </c>
      <c r="O178">
        <v>1</v>
      </c>
      <c r="P178">
        <v>1</v>
      </c>
      <c r="Q178">
        <v>1</v>
      </c>
      <c r="R178" s="1" t="s">
        <v>555</v>
      </c>
      <c r="S178" s="1" t="s">
        <v>140</v>
      </c>
    </row>
    <row r="179" spans="1:19" x14ac:dyDescent="0.25">
      <c r="A179" s="1" t="s">
        <v>149</v>
      </c>
      <c r="B179" s="1" t="s">
        <v>170</v>
      </c>
      <c r="C179" s="1" t="s">
        <v>192</v>
      </c>
      <c r="D179" s="1" t="s">
        <v>714</v>
      </c>
      <c r="E179" s="1" t="s">
        <v>253</v>
      </c>
      <c r="F179" s="1" t="s">
        <v>254</v>
      </c>
      <c r="G179" s="1" t="s">
        <v>558</v>
      </c>
      <c r="H179" s="1" t="s">
        <v>559</v>
      </c>
      <c r="I179" s="1" t="s">
        <v>91</v>
      </c>
      <c r="J179" s="1" t="s">
        <v>560</v>
      </c>
      <c r="K179" s="1" t="s">
        <v>904</v>
      </c>
      <c r="L179" s="1" t="s">
        <v>905</v>
      </c>
      <c r="M179">
        <v>1</v>
      </c>
      <c r="N179">
        <v>1</v>
      </c>
      <c r="O179">
        <v>1</v>
      </c>
      <c r="P179">
        <v>1</v>
      </c>
      <c r="Q179">
        <v>1</v>
      </c>
      <c r="R179" s="1" t="s">
        <v>558</v>
      </c>
      <c r="S179" s="1" t="s">
        <v>140</v>
      </c>
    </row>
    <row r="180" spans="1:19" x14ac:dyDescent="0.25">
      <c r="A180" s="1" t="s">
        <v>212</v>
      </c>
      <c r="B180" s="1" t="s">
        <v>213</v>
      </c>
      <c r="C180" s="1" t="s">
        <v>214</v>
      </c>
      <c r="D180" s="1" t="s">
        <v>692</v>
      </c>
      <c r="E180" s="1" t="s">
        <v>215</v>
      </c>
      <c r="F180" s="1" t="s">
        <v>216</v>
      </c>
      <c r="G180" s="1" t="s">
        <v>561</v>
      </c>
      <c r="H180" s="1" t="s">
        <v>562</v>
      </c>
      <c r="I180" s="1" t="s">
        <v>18</v>
      </c>
      <c r="J180" s="1" t="s">
        <v>563</v>
      </c>
      <c r="K180" s="1" t="s">
        <v>906</v>
      </c>
      <c r="L180" s="1" t="s">
        <v>907</v>
      </c>
      <c r="M180">
        <v>1</v>
      </c>
      <c r="N180">
        <v>1</v>
      </c>
      <c r="O180">
        <v>1</v>
      </c>
      <c r="P180">
        <v>1</v>
      </c>
      <c r="Q180">
        <v>1</v>
      </c>
      <c r="R180" s="1" t="s">
        <v>561</v>
      </c>
      <c r="S180" s="1" t="s">
        <v>140</v>
      </c>
    </row>
    <row r="181" spans="1:19" x14ac:dyDescent="0.25">
      <c r="A181" s="1" t="s">
        <v>212</v>
      </c>
      <c r="B181" s="1" t="s">
        <v>213</v>
      </c>
      <c r="C181" s="1" t="s">
        <v>214</v>
      </c>
      <c r="D181" s="1" t="s">
        <v>744</v>
      </c>
      <c r="E181" s="1" t="s">
        <v>305</v>
      </c>
      <c r="F181" s="1" t="s">
        <v>216</v>
      </c>
      <c r="G181" s="1" t="s">
        <v>564</v>
      </c>
      <c r="H181" s="1" t="s">
        <v>565</v>
      </c>
      <c r="I181" s="1" t="s">
        <v>3</v>
      </c>
      <c r="J181" s="1" t="s">
        <v>566</v>
      </c>
      <c r="K181" s="1" t="s">
        <v>908</v>
      </c>
      <c r="L181" s="1" t="s">
        <v>909</v>
      </c>
      <c r="M181">
        <v>2</v>
      </c>
      <c r="N181">
        <v>1</v>
      </c>
      <c r="O181">
        <v>1</v>
      </c>
      <c r="P181">
        <v>1</v>
      </c>
      <c r="Q181">
        <v>1</v>
      </c>
      <c r="R181" s="1" t="s">
        <v>564</v>
      </c>
      <c r="S181" s="1" t="s">
        <v>140</v>
      </c>
    </row>
    <row r="182" spans="1:19" x14ac:dyDescent="0.25">
      <c r="A182" s="1" t="s">
        <v>149</v>
      </c>
      <c r="B182" s="1" t="s">
        <v>150</v>
      </c>
      <c r="C182" s="1" t="s">
        <v>407</v>
      </c>
      <c r="D182" s="1" t="s">
        <v>810</v>
      </c>
      <c r="E182" s="1" t="s">
        <v>408</v>
      </c>
      <c r="F182" s="1" t="s">
        <v>409</v>
      </c>
      <c r="G182" s="1" t="s">
        <v>567</v>
      </c>
      <c r="H182" s="1" t="s">
        <v>568</v>
      </c>
      <c r="I182" s="1" t="s">
        <v>1</v>
      </c>
      <c r="J182" s="1" t="s">
        <v>569</v>
      </c>
      <c r="K182" s="1" t="s">
        <v>910</v>
      </c>
      <c r="L182" s="1" t="s">
        <v>911</v>
      </c>
      <c r="M182">
        <v>0</v>
      </c>
      <c r="N182">
        <v>1</v>
      </c>
      <c r="O182">
        <v>1</v>
      </c>
      <c r="P182">
        <v>1</v>
      </c>
      <c r="Q182">
        <v>1</v>
      </c>
      <c r="R182" s="1" t="s">
        <v>567</v>
      </c>
      <c r="S182" s="1" t="s">
        <v>140</v>
      </c>
    </row>
    <row r="183" spans="1:19" x14ac:dyDescent="0.25">
      <c r="A183" s="1" t="s">
        <v>149</v>
      </c>
      <c r="B183" s="1" t="s">
        <v>170</v>
      </c>
      <c r="C183" s="1" t="s">
        <v>247</v>
      </c>
      <c r="D183" s="1" t="s">
        <v>711</v>
      </c>
      <c r="E183" s="1" t="s">
        <v>248</v>
      </c>
      <c r="F183" s="1" t="s">
        <v>570</v>
      </c>
      <c r="G183" s="1" t="s">
        <v>571</v>
      </c>
      <c r="H183" s="1" t="s">
        <v>572</v>
      </c>
      <c r="I183" s="1" t="s">
        <v>45</v>
      </c>
      <c r="J183" s="1" t="s">
        <v>573</v>
      </c>
      <c r="K183" s="1" t="s">
        <v>912</v>
      </c>
      <c r="L183" s="1" t="s">
        <v>913</v>
      </c>
      <c r="M183">
        <v>1</v>
      </c>
      <c r="N183">
        <v>1</v>
      </c>
      <c r="O183">
        <v>1</v>
      </c>
      <c r="P183">
        <v>1</v>
      </c>
      <c r="Q183">
        <v>1</v>
      </c>
      <c r="R183" s="1" t="s">
        <v>571</v>
      </c>
      <c r="S183" s="1" t="s">
        <v>140</v>
      </c>
    </row>
    <row r="184" spans="1:19" x14ac:dyDescent="0.25">
      <c r="A184" s="1" t="s">
        <v>149</v>
      </c>
      <c r="B184" s="1" t="s">
        <v>170</v>
      </c>
      <c r="C184" s="1" t="s">
        <v>247</v>
      </c>
      <c r="D184" s="1" t="s">
        <v>711</v>
      </c>
      <c r="E184" s="1" t="s">
        <v>248</v>
      </c>
      <c r="F184" s="1" t="s">
        <v>249</v>
      </c>
      <c r="G184" s="1" t="s">
        <v>574</v>
      </c>
      <c r="H184" s="1" t="s">
        <v>575</v>
      </c>
      <c r="I184" s="1" t="s">
        <v>59</v>
      </c>
      <c r="J184" s="1" t="s">
        <v>576</v>
      </c>
      <c r="K184" s="1" t="s">
        <v>914</v>
      </c>
      <c r="L184" s="1" t="s">
        <v>915</v>
      </c>
      <c r="M184">
        <v>1</v>
      </c>
      <c r="N184">
        <v>1</v>
      </c>
      <c r="O184">
        <v>1</v>
      </c>
      <c r="P184">
        <v>1</v>
      </c>
      <c r="Q184">
        <v>1</v>
      </c>
      <c r="R184" s="1" t="s">
        <v>574</v>
      </c>
      <c r="S184" s="1" t="s">
        <v>140</v>
      </c>
    </row>
    <row r="185" spans="1:19" x14ac:dyDescent="0.25">
      <c r="A185" s="1" t="s">
        <v>149</v>
      </c>
      <c r="B185" s="1" t="s">
        <v>150</v>
      </c>
      <c r="C185" s="1" t="s">
        <v>264</v>
      </c>
      <c r="D185" s="1" t="s">
        <v>753</v>
      </c>
      <c r="E185" s="1" t="s">
        <v>321</v>
      </c>
      <c r="F185" s="1" t="s">
        <v>266</v>
      </c>
      <c r="G185" s="1" t="s">
        <v>577</v>
      </c>
      <c r="H185" s="1" t="s">
        <v>578</v>
      </c>
      <c r="I185" s="1" t="s">
        <v>65</v>
      </c>
      <c r="J185" s="1" t="s">
        <v>579</v>
      </c>
      <c r="K185" s="1" t="s">
        <v>916</v>
      </c>
      <c r="L185" s="1" t="s">
        <v>917</v>
      </c>
      <c r="M185">
        <v>0</v>
      </c>
      <c r="N185">
        <v>1</v>
      </c>
      <c r="O185">
        <v>1</v>
      </c>
      <c r="P185">
        <v>1</v>
      </c>
      <c r="Q185">
        <v>1</v>
      </c>
      <c r="R185" s="1" t="s">
        <v>577</v>
      </c>
      <c r="S185" s="1" t="s">
        <v>140</v>
      </c>
    </row>
    <row r="186" spans="1:19" x14ac:dyDescent="0.25">
      <c r="A186" s="1" t="s">
        <v>149</v>
      </c>
      <c r="B186" s="1" t="s">
        <v>150</v>
      </c>
      <c r="C186" s="1" t="s">
        <v>264</v>
      </c>
      <c r="D186" s="1" t="s">
        <v>866</v>
      </c>
      <c r="E186" s="1" t="s">
        <v>497</v>
      </c>
      <c r="F186" s="1" t="s">
        <v>498</v>
      </c>
      <c r="G186" s="1" t="s">
        <v>580</v>
      </c>
      <c r="H186" s="1" t="s">
        <v>581</v>
      </c>
      <c r="I186" s="1" t="s">
        <v>82</v>
      </c>
      <c r="J186" s="1" t="s">
        <v>582</v>
      </c>
      <c r="K186" s="1" t="s">
        <v>918</v>
      </c>
      <c r="L186" s="1" t="s">
        <v>919</v>
      </c>
      <c r="M186">
        <v>0</v>
      </c>
      <c r="N186">
        <v>1</v>
      </c>
      <c r="O186">
        <v>1</v>
      </c>
      <c r="P186">
        <v>1</v>
      </c>
      <c r="Q186">
        <v>1</v>
      </c>
      <c r="R186" s="1" t="s">
        <v>580</v>
      </c>
      <c r="S186" s="1" t="s">
        <v>140</v>
      </c>
    </row>
    <row r="187" spans="1:19" x14ac:dyDescent="0.25">
      <c r="A187" s="1" t="s">
        <v>212</v>
      </c>
      <c r="B187" s="1" t="s">
        <v>213</v>
      </c>
      <c r="C187" s="1" t="s">
        <v>214</v>
      </c>
      <c r="D187" s="1" t="s">
        <v>692</v>
      </c>
      <c r="E187" s="1" t="s">
        <v>215</v>
      </c>
      <c r="F187" s="1" t="s">
        <v>216</v>
      </c>
      <c r="G187" s="1" t="s">
        <v>583</v>
      </c>
      <c r="H187" s="1" t="s">
        <v>584</v>
      </c>
      <c r="I187" s="1" t="s">
        <v>80</v>
      </c>
      <c r="J187" s="1" t="s">
        <v>585</v>
      </c>
      <c r="K187" s="1" t="s">
        <v>920</v>
      </c>
      <c r="L187" s="1" t="s">
        <v>921</v>
      </c>
      <c r="M187">
        <v>1</v>
      </c>
      <c r="N187">
        <v>1</v>
      </c>
      <c r="O187">
        <v>1</v>
      </c>
      <c r="P187">
        <v>1</v>
      </c>
      <c r="Q187">
        <v>1</v>
      </c>
      <c r="R187" s="1" t="s">
        <v>583</v>
      </c>
      <c r="S187" s="1" t="s">
        <v>140</v>
      </c>
    </row>
    <row r="188" spans="1:19" x14ac:dyDescent="0.25">
      <c r="A188" s="1" t="s">
        <v>149</v>
      </c>
      <c r="B188" s="1" t="s">
        <v>150</v>
      </c>
      <c r="C188" s="1" t="s">
        <v>264</v>
      </c>
      <c r="D188" s="1" t="s">
        <v>720</v>
      </c>
      <c r="E188" s="1" t="s">
        <v>265</v>
      </c>
      <c r="F188" s="1" t="s">
        <v>266</v>
      </c>
      <c r="G188" s="1" t="s">
        <v>586</v>
      </c>
      <c r="H188" s="1" t="s">
        <v>587</v>
      </c>
      <c r="I188" s="1" t="s">
        <v>41</v>
      </c>
      <c r="J188" s="1" t="s">
        <v>588</v>
      </c>
      <c r="K188" s="1" t="s">
        <v>922</v>
      </c>
      <c r="L188" s="1" t="s">
        <v>923</v>
      </c>
      <c r="M188">
        <v>0</v>
      </c>
      <c r="N188">
        <v>1</v>
      </c>
      <c r="O188">
        <v>1</v>
      </c>
      <c r="P188">
        <v>1</v>
      </c>
      <c r="Q188">
        <v>1</v>
      </c>
      <c r="R188" s="1" t="s">
        <v>586</v>
      </c>
      <c r="S188" s="1" t="s">
        <v>140</v>
      </c>
    </row>
    <row r="189" spans="1:19" x14ac:dyDescent="0.25">
      <c r="A189" s="1" t="s">
        <v>178</v>
      </c>
      <c r="B189" s="1" t="s">
        <v>315</v>
      </c>
      <c r="C189" s="1" t="s">
        <v>338</v>
      </c>
      <c r="D189" s="1" t="s">
        <v>765</v>
      </c>
      <c r="E189" s="1" t="s">
        <v>339</v>
      </c>
      <c r="F189" s="1" t="s">
        <v>331</v>
      </c>
      <c r="G189" s="1" t="s">
        <v>589</v>
      </c>
      <c r="H189" s="1" t="s">
        <v>590</v>
      </c>
      <c r="I189" s="1" t="s">
        <v>47</v>
      </c>
      <c r="J189" s="1" t="s">
        <v>591</v>
      </c>
      <c r="K189" s="1" t="s">
        <v>924</v>
      </c>
      <c r="L189" s="1" t="s">
        <v>925</v>
      </c>
      <c r="M189">
        <v>0</v>
      </c>
      <c r="N189">
        <v>1</v>
      </c>
      <c r="O189">
        <v>1</v>
      </c>
      <c r="P189">
        <v>1</v>
      </c>
      <c r="Q189">
        <v>1</v>
      </c>
      <c r="R189" s="1" t="s">
        <v>589</v>
      </c>
      <c r="S189" s="1" t="s">
        <v>140</v>
      </c>
    </row>
    <row r="190" spans="1:19" x14ac:dyDescent="0.25">
      <c r="A190" s="1" t="s">
        <v>149</v>
      </c>
      <c r="B190" s="1" t="s">
        <v>170</v>
      </c>
      <c r="C190" s="1" t="s">
        <v>416</v>
      </c>
      <c r="D190" s="1" t="s">
        <v>815</v>
      </c>
      <c r="E190" s="1" t="s">
        <v>417</v>
      </c>
      <c r="F190" s="1" t="s">
        <v>418</v>
      </c>
      <c r="G190" s="1" t="s">
        <v>592</v>
      </c>
      <c r="H190" s="1" t="s">
        <v>593</v>
      </c>
      <c r="I190" s="1" t="s">
        <v>17</v>
      </c>
      <c r="J190" s="1" t="s">
        <v>594</v>
      </c>
      <c r="K190" s="1" t="s">
        <v>926</v>
      </c>
      <c r="L190" s="1" t="s">
        <v>927</v>
      </c>
      <c r="M190">
        <v>2</v>
      </c>
      <c r="N190">
        <v>1</v>
      </c>
      <c r="O190">
        <v>1</v>
      </c>
      <c r="P190">
        <v>1</v>
      </c>
      <c r="Q190">
        <v>1</v>
      </c>
      <c r="R190" s="1" t="s">
        <v>592</v>
      </c>
      <c r="S190" s="1" t="s">
        <v>140</v>
      </c>
    </row>
    <row r="191" spans="1:19" x14ac:dyDescent="0.25">
      <c r="A191" s="1" t="s">
        <v>149</v>
      </c>
      <c r="B191" s="1" t="s">
        <v>170</v>
      </c>
      <c r="C191" s="1" t="s">
        <v>171</v>
      </c>
      <c r="D191" s="1" t="s">
        <v>673</v>
      </c>
      <c r="E191" s="1" t="s">
        <v>172</v>
      </c>
      <c r="F191" s="1" t="s">
        <v>173</v>
      </c>
      <c r="G191" s="1" t="s">
        <v>595</v>
      </c>
      <c r="H191" s="1" t="s">
        <v>596</v>
      </c>
      <c r="I191" s="1" t="s">
        <v>60</v>
      </c>
      <c r="J191" s="1" t="s">
        <v>597</v>
      </c>
      <c r="K191" s="1" t="s">
        <v>928</v>
      </c>
      <c r="L191" s="1" t="s">
        <v>929</v>
      </c>
      <c r="M191">
        <v>0</v>
      </c>
      <c r="N191">
        <v>1</v>
      </c>
      <c r="O191">
        <v>1</v>
      </c>
      <c r="P191">
        <v>1</v>
      </c>
      <c r="Q191">
        <v>1</v>
      </c>
      <c r="R191" s="1" t="s">
        <v>595</v>
      </c>
      <c r="S191" s="1" t="s">
        <v>140</v>
      </c>
    </row>
    <row r="192" spans="1:19" x14ac:dyDescent="0.25">
      <c r="A192" s="1" t="s">
        <v>149</v>
      </c>
      <c r="B192" s="1" t="s">
        <v>170</v>
      </c>
      <c r="C192" s="1" t="s">
        <v>192</v>
      </c>
      <c r="D192" s="1" t="s">
        <v>682</v>
      </c>
      <c r="E192" s="1" t="s">
        <v>193</v>
      </c>
      <c r="F192" s="1" t="s">
        <v>194</v>
      </c>
      <c r="G192" s="1" t="s">
        <v>598</v>
      </c>
      <c r="H192" s="1" t="s">
        <v>233</v>
      </c>
      <c r="I192" s="1" t="s">
        <v>68</v>
      </c>
      <c r="J192" s="1" t="s">
        <v>599</v>
      </c>
      <c r="K192" s="1" t="s">
        <v>930</v>
      </c>
      <c r="L192" s="1" t="s">
        <v>1217</v>
      </c>
      <c r="M192">
        <v>49</v>
      </c>
      <c r="N192">
        <v>0</v>
      </c>
      <c r="O192">
        <v>0</v>
      </c>
      <c r="P192">
        <v>1</v>
      </c>
      <c r="Q192">
        <v>1</v>
      </c>
      <c r="R192" s="1" t="s">
        <v>598</v>
      </c>
      <c r="S192" s="1" t="s">
        <v>140</v>
      </c>
    </row>
    <row r="193" spans="1:19" x14ac:dyDescent="0.25">
      <c r="A193" s="1" t="s">
        <v>149</v>
      </c>
      <c r="B193" s="1" t="s">
        <v>170</v>
      </c>
      <c r="C193" s="1" t="s">
        <v>247</v>
      </c>
      <c r="D193" s="1" t="s">
        <v>857</v>
      </c>
      <c r="E193" s="1" t="s">
        <v>484</v>
      </c>
      <c r="F193" s="1" t="s">
        <v>249</v>
      </c>
      <c r="G193" s="1" t="s">
        <v>600</v>
      </c>
      <c r="H193" s="1" t="s">
        <v>601</v>
      </c>
      <c r="I193" s="1" t="s">
        <v>90</v>
      </c>
      <c r="J193" s="1" t="s">
        <v>602</v>
      </c>
      <c r="K193" s="1" t="s">
        <v>931</v>
      </c>
      <c r="L193" s="1" t="s">
        <v>932</v>
      </c>
      <c r="M193">
        <v>8</v>
      </c>
      <c r="N193">
        <v>0</v>
      </c>
      <c r="O193">
        <v>0</v>
      </c>
      <c r="P193">
        <v>1</v>
      </c>
      <c r="Q193">
        <v>1</v>
      </c>
      <c r="R193" s="1" t="s">
        <v>600</v>
      </c>
      <c r="S193" s="1" t="s">
        <v>140</v>
      </c>
    </row>
    <row r="194" spans="1:19" x14ac:dyDescent="0.25">
      <c r="A194" s="1" t="s">
        <v>149</v>
      </c>
      <c r="B194" s="1" t="s">
        <v>170</v>
      </c>
      <c r="C194" s="1" t="s">
        <v>192</v>
      </c>
      <c r="D194" s="1" t="s">
        <v>714</v>
      </c>
      <c r="E194" s="1" t="s">
        <v>253</v>
      </c>
      <c r="F194" s="1" t="s">
        <v>254</v>
      </c>
      <c r="G194" s="1" t="s">
        <v>603</v>
      </c>
      <c r="H194" s="1" t="s">
        <v>360</v>
      </c>
      <c r="I194" s="1" t="s">
        <v>85</v>
      </c>
      <c r="J194" s="1" t="s">
        <v>604</v>
      </c>
      <c r="K194" s="1" t="s">
        <v>933</v>
      </c>
      <c r="L194" s="1" t="s">
        <v>934</v>
      </c>
      <c r="M194">
        <v>1</v>
      </c>
      <c r="N194">
        <v>1</v>
      </c>
      <c r="O194">
        <v>1</v>
      </c>
      <c r="P194">
        <v>1</v>
      </c>
      <c r="Q194">
        <v>1</v>
      </c>
      <c r="R194" s="1" t="s">
        <v>603</v>
      </c>
      <c r="S194" s="1" t="s">
        <v>140</v>
      </c>
    </row>
    <row r="195" spans="1:19" x14ac:dyDescent="0.25">
      <c r="A195" s="1" t="s">
        <v>149</v>
      </c>
      <c r="B195" s="1" t="s">
        <v>150</v>
      </c>
      <c r="C195" s="1" t="s">
        <v>264</v>
      </c>
      <c r="D195" s="1" t="s">
        <v>720</v>
      </c>
      <c r="E195" s="1" t="s">
        <v>265</v>
      </c>
      <c r="F195" s="1" t="s">
        <v>266</v>
      </c>
      <c r="G195" s="1" t="s">
        <v>605</v>
      </c>
      <c r="H195" s="1" t="s">
        <v>606</v>
      </c>
      <c r="I195" s="1" t="s">
        <v>16</v>
      </c>
      <c r="J195" s="1" t="s">
        <v>607</v>
      </c>
      <c r="K195" s="1" t="s">
        <v>935</v>
      </c>
      <c r="L195" s="1" t="s">
        <v>936</v>
      </c>
      <c r="M195">
        <v>3</v>
      </c>
      <c r="N195">
        <v>1</v>
      </c>
      <c r="O195">
        <v>1</v>
      </c>
      <c r="P195">
        <v>1</v>
      </c>
      <c r="Q195">
        <v>1</v>
      </c>
      <c r="R195" s="1" t="s">
        <v>605</v>
      </c>
      <c r="S195" s="1" t="s">
        <v>140</v>
      </c>
    </row>
    <row r="196" spans="1:19" x14ac:dyDescent="0.25">
      <c r="A196" s="1" t="s">
        <v>149</v>
      </c>
      <c r="B196" s="1" t="s">
        <v>170</v>
      </c>
      <c r="C196" s="1" t="s">
        <v>608</v>
      </c>
      <c r="D196" s="1" t="s">
        <v>937</v>
      </c>
      <c r="E196" s="1" t="s">
        <v>609</v>
      </c>
      <c r="F196" s="1" t="s">
        <v>610</v>
      </c>
      <c r="G196" s="1" t="s">
        <v>611</v>
      </c>
      <c r="H196" s="1" t="s">
        <v>612</v>
      </c>
      <c r="I196" s="1" t="s">
        <v>31</v>
      </c>
      <c r="J196" s="1" t="s">
        <v>613</v>
      </c>
      <c r="K196" s="1" t="s">
        <v>938</v>
      </c>
      <c r="L196" s="1" t="s">
        <v>939</v>
      </c>
      <c r="M196">
        <v>15</v>
      </c>
      <c r="N196">
        <v>0</v>
      </c>
      <c r="O196">
        <v>0</v>
      </c>
      <c r="P196">
        <v>1</v>
      </c>
      <c r="Q196">
        <v>1</v>
      </c>
      <c r="R196" s="1" t="s">
        <v>611</v>
      </c>
      <c r="S196" s="1" t="s">
        <v>140</v>
      </c>
    </row>
    <row r="197" spans="1:19" x14ac:dyDescent="0.25">
      <c r="A197" s="1" t="s">
        <v>149</v>
      </c>
      <c r="B197" s="1" t="s">
        <v>170</v>
      </c>
      <c r="C197" s="1" t="s">
        <v>416</v>
      </c>
      <c r="D197" s="1" t="s">
        <v>828</v>
      </c>
      <c r="E197" s="1" t="s">
        <v>438</v>
      </c>
      <c r="F197" s="1" t="s">
        <v>418</v>
      </c>
      <c r="G197" s="1" t="s">
        <v>614</v>
      </c>
      <c r="H197" s="1" t="s">
        <v>417</v>
      </c>
      <c r="I197" s="1" t="s">
        <v>70</v>
      </c>
      <c r="J197" s="1" t="s">
        <v>615</v>
      </c>
      <c r="K197" s="1" t="s">
        <v>940</v>
      </c>
      <c r="L197" s="1" t="s">
        <v>941</v>
      </c>
      <c r="M197">
        <v>6</v>
      </c>
      <c r="N197">
        <v>0</v>
      </c>
      <c r="O197">
        <v>1</v>
      </c>
      <c r="P197">
        <v>1</v>
      </c>
      <c r="Q197">
        <v>1</v>
      </c>
      <c r="R197" s="1" t="s">
        <v>614</v>
      </c>
      <c r="S197" s="1" t="s">
        <v>140</v>
      </c>
    </row>
    <row r="198" spans="1:19" x14ac:dyDescent="0.25">
      <c r="A198" s="1" t="s">
        <v>212</v>
      </c>
      <c r="B198" s="1" t="s">
        <v>213</v>
      </c>
      <c r="C198" s="1" t="s">
        <v>214</v>
      </c>
      <c r="D198" s="1" t="s">
        <v>744</v>
      </c>
      <c r="E198" s="1" t="s">
        <v>305</v>
      </c>
      <c r="F198" s="1" t="s">
        <v>216</v>
      </c>
      <c r="G198" s="1" t="s">
        <v>616</v>
      </c>
      <c r="H198" s="1" t="s">
        <v>617</v>
      </c>
      <c r="I198" s="1" t="s">
        <v>2</v>
      </c>
      <c r="J198" s="1" t="s">
        <v>618</v>
      </c>
      <c r="K198" s="1" t="s">
        <v>942</v>
      </c>
      <c r="L198" s="1" t="s">
        <v>943</v>
      </c>
      <c r="M198">
        <v>4</v>
      </c>
      <c r="N198">
        <v>0</v>
      </c>
      <c r="O198">
        <v>1</v>
      </c>
      <c r="P198">
        <v>1</v>
      </c>
      <c r="Q198">
        <v>1</v>
      </c>
      <c r="R198" s="1" t="s">
        <v>616</v>
      </c>
      <c r="S198" s="1" t="s">
        <v>140</v>
      </c>
    </row>
    <row r="199" spans="1:19" x14ac:dyDescent="0.25">
      <c r="A199" s="1" t="s">
        <v>149</v>
      </c>
      <c r="B199" s="1" t="s">
        <v>150</v>
      </c>
      <c r="C199" s="1" t="s">
        <v>151</v>
      </c>
      <c r="D199" s="1" t="s">
        <v>695</v>
      </c>
      <c r="E199" s="1" t="s">
        <v>220</v>
      </c>
      <c r="F199" s="1" t="s">
        <v>153</v>
      </c>
      <c r="G199" s="1" t="s">
        <v>619</v>
      </c>
      <c r="H199" s="1" t="s">
        <v>620</v>
      </c>
      <c r="I199" s="1" t="s">
        <v>83</v>
      </c>
      <c r="J199" s="1" t="s">
        <v>621</v>
      </c>
      <c r="K199" s="1" t="s">
        <v>944</v>
      </c>
      <c r="L199" s="1" t="s">
        <v>945</v>
      </c>
      <c r="M199">
        <v>13</v>
      </c>
      <c r="N199">
        <v>0</v>
      </c>
      <c r="O199">
        <v>0</v>
      </c>
      <c r="P199">
        <v>1</v>
      </c>
      <c r="Q199">
        <v>1</v>
      </c>
      <c r="R199" s="1" t="s">
        <v>619</v>
      </c>
      <c r="S199" s="1" t="s">
        <v>140</v>
      </c>
    </row>
    <row r="200" spans="1:19" x14ac:dyDescent="0.25">
      <c r="A200" s="1" t="s">
        <v>149</v>
      </c>
      <c r="B200" s="1" t="s">
        <v>150</v>
      </c>
      <c r="C200" s="1" t="s">
        <v>264</v>
      </c>
      <c r="D200" s="1" t="s">
        <v>753</v>
      </c>
      <c r="E200" s="1" t="s">
        <v>321</v>
      </c>
      <c r="F200" s="1" t="s">
        <v>266</v>
      </c>
      <c r="G200" s="1" t="s">
        <v>622</v>
      </c>
      <c r="H200" s="1" t="s">
        <v>265</v>
      </c>
      <c r="I200" s="1" t="s">
        <v>30</v>
      </c>
      <c r="J200" s="1" t="s">
        <v>623</v>
      </c>
      <c r="K200" s="1" t="s">
        <v>946</v>
      </c>
      <c r="L200" s="1" t="s">
        <v>947</v>
      </c>
      <c r="M200">
        <v>0</v>
      </c>
      <c r="N200">
        <v>1</v>
      </c>
      <c r="O200">
        <v>1</v>
      </c>
      <c r="P200">
        <v>1</v>
      </c>
      <c r="Q200">
        <v>1</v>
      </c>
      <c r="R200" s="1" t="s">
        <v>622</v>
      </c>
      <c r="S200" s="1" t="s">
        <v>140</v>
      </c>
    </row>
    <row r="201" spans="1:19" x14ac:dyDescent="0.25">
      <c r="A201" s="1" t="s">
        <v>149</v>
      </c>
      <c r="B201" s="1" t="s">
        <v>150</v>
      </c>
      <c r="C201" s="1" t="s">
        <v>264</v>
      </c>
      <c r="D201" s="1" t="s">
        <v>948</v>
      </c>
      <c r="E201" s="1" t="s">
        <v>624</v>
      </c>
      <c r="F201" s="1" t="s">
        <v>498</v>
      </c>
      <c r="G201" s="1" t="s">
        <v>625</v>
      </c>
      <c r="H201" s="1" t="s">
        <v>497</v>
      </c>
      <c r="I201" s="1" t="s">
        <v>88</v>
      </c>
      <c r="J201" s="1" t="s">
        <v>626</v>
      </c>
      <c r="K201" s="1" t="s">
        <v>949</v>
      </c>
      <c r="L201" s="1" t="s">
        <v>950</v>
      </c>
      <c r="M201">
        <v>0</v>
      </c>
      <c r="N201">
        <v>1</v>
      </c>
      <c r="O201">
        <v>1</v>
      </c>
      <c r="P201">
        <v>1</v>
      </c>
      <c r="Q201">
        <v>1</v>
      </c>
      <c r="R201" s="1" t="s">
        <v>625</v>
      </c>
      <c r="S201" s="1" t="s">
        <v>140</v>
      </c>
    </row>
    <row r="202" spans="1:19" x14ac:dyDescent="0.25">
      <c r="A202" s="1" t="s">
        <v>149</v>
      </c>
      <c r="B202" s="1" t="s">
        <v>170</v>
      </c>
      <c r="C202" s="1" t="s">
        <v>171</v>
      </c>
      <c r="D202" s="1" t="s">
        <v>951</v>
      </c>
      <c r="E202" s="1" t="s">
        <v>627</v>
      </c>
      <c r="F202" s="1" t="s">
        <v>173</v>
      </c>
      <c r="G202" s="1" t="s">
        <v>628</v>
      </c>
      <c r="H202" s="1" t="s">
        <v>627</v>
      </c>
      <c r="I202" s="1" t="s">
        <v>74</v>
      </c>
      <c r="J202" s="1" t="s">
        <v>629</v>
      </c>
      <c r="K202" s="1" t="s">
        <v>952</v>
      </c>
      <c r="L202" s="1" t="s">
        <v>953</v>
      </c>
      <c r="M202">
        <v>0</v>
      </c>
      <c r="N202">
        <v>1</v>
      </c>
      <c r="O202">
        <v>1</v>
      </c>
      <c r="P202">
        <v>1</v>
      </c>
      <c r="Q202">
        <v>1</v>
      </c>
      <c r="R202" s="1" t="s">
        <v>628</v>
      </c>
      <c r="S202" s="1" t="s">
        <v>630</v>
      </c>
    </row>
    <row r="203" spans="1:19" x14ac:dyDescent="0.25">
      <c r="A203" s="1" t="s">
        <v>149</v>
      </c>
      <c r="B203" s="1" t="s">
        <v>150</v>
      </c>
      <c r="C203" s="1" t="s">
        <v>264</v>
      </c>
      <c r="D203" s="1" t="s">
        <v>948</v>
      </c>
      <c r="E203" s="1" t="s">
        <v>624</v>
      </c>
      <c r="F203" s="1" t="s">
        <v>498</v>
      </c>
      <c r="G203" s="1" t="s">
        <v>631</v>
      </c>
      <c r="H203" s="1" t="s">
        <v>624</v>
      </c>
      <c r="I203" s="1" t="s">
        <v>46</v>
      </c>
      <c r="J203" s="1" t="s">
        <v>632</v>
      </c>
      <c r="K203" s="1" t="s">
        <v>954</v>
      </c>
      <c r="L203" s="1" t="s">
        <v>955</v>
      </c>
      <c r="M203">
        <v>0</v>
      </c>
      <c r="N203">
        <v>1</v>
      </c>
      <c r="O203">
        <v>1</v>
      </c>
      <c r="P203">
        <v>1</v>
      </c>
      <c r="Q203">
        <v>1</v>
      </c>
      <c r="R203" s="1" t="s">
        <v>631</v>
      </c>
      <c r="S203" s="1" t="s">
        <v>630</v>
      </c>
    </row>
    <row r="204" spans="1:19" x14ac:dyDescent="0.25">
      <c r="A204" s="1" t="s">
        <v>149</v>
      </c>
      <c r="B204" s="1" t="s">
        <v>150</v>
      </c>
      <c r="C204" s="1" t="s">
        <v>407</v>
      </c>
      <c r="D204" s="1" t="s">
        <v>820</v>
      </c>
      <c r="E204" s="1" t="s">
        <v>425</v>
      </c>
      <c r="F204" s="1" t="s">
        <v>409</v>
      </c>
      <c r="G204" s="1" t="s">
        <v>633</v>
      </c>
      <c r="H204" s="1" t="s">
        <v>425</v>
      </c>
      <c r="I204" s="1" t="s">
        <v>20</v>
      </c>
      <c r="J204" s="1" t="s">
        <v>634</v>
      </c>
      <c r="K204" s="1" t="s">
        <v>956</v>
      </c>
      <c r="L204" s="1" t="s">
        <v>957</v>
      </c>
      <c r="M204">
        <v>0</v>
      </c>
      <c r="N204">
        <v>1</v>
      </c>
      <c r="O204">
        <v>1</v>
      </c>
      <c r="P204">
        <v>1</v>
      </c>
      <c r="Q204">
        <v>1</v>
      </c>
      <c r="R204" s="1" t="s">
        <v>633</v>
      </c>
      <c r="S204" s="1" t="s">
        <v>630</v>
      </c>
    </row>
    <row r="205" spans="1:19" x14ac:dyDescent="0.25">
      <c r="A205" s="1" t="s">
        <v>149</v>
      </c>
      <c r="B205" s="1" t="s">
        <v>150</v>
      </c>
      <c r="C205" s="1" t="s">
        <v>264</v>
      </c>
      <c r="D205" s="1" t="s">
        <v>720</v>
      </c>
      <c r="E205" s="1" t="s">
        <v>265</v>
      </c>
      <c r="F205" s="1" t="s">
        <v>266</v>
      </c>
      <c r="G205" s="1" t="s">
        <v>635</v>
      </c>
      <c r="H205" s="1" t="s">
        <v>636</v>
      </c>
      <c r="I205" s="1" t="s">
        <v>94</v>
      </c>
      <c r="J205" s="1" t="s">
        <v>637</v>
      </c>
      <c r="K205" s="1" t="s">
        <v>958</v>
      </c>
      <c r="L205" s="1" t="s">
        <v>959</v>
      </c>
      <c r="M205">
        <v>3</v>
      </c>
      <c r="N205">
        <v>1</v>
      </c>
      <c r="O205">
        <v>1</v>
      </c>
      <c r="P205">
        <v>1</v>
      </c>
      <c r="Q205">
        <v>1</v>
      </c>
      <c r="R205" s="1" t="s">
        <v>635</v>
      </c>
      <c r="S205" s="1" t="s">
        <v>630</v>
      </c>
    </row>
    <row r="206" spans="1:19" x14ac:dyDescent="0.25">
      <c r="A206" s="1" t="s">
        <v>149</v>
      </c>
      <c r="B206" s="1" t="s">
        <v>150</v>
      </c>
      <c r="C206" s="1" t="s">
        <v>264</v>
      </c>
      <c r="D206" s="1" t="s">
        <v>753</v>
      </c>
      <c r="E206" s="1" t="s">
        <v>321</v>
      </c>
      <c r="F206" s="1" t="s">
        <v>266</v>
      </c>
      <c r="G206" s="1" t="s">
        <v>638</v>
      </c>
      <c r="H206" s="1" t="s">
        <v>636</v>
      </c>
      <c r="I206" s="1" t="s">
        <v>83</v>
      </c>
      <c r="J206" s="1" t="s">
        <v>639</v>
      </c>
      <c r="K206" s="1" t="s">
        <v>960</v>
      </c>
      <c r="L206" s="1" t="s">
        <v>961</v>
      </c>
      <c r="M206">
        <v>4</v>
      </c>
      <c r="N206">
        <v>0</v>
      </c>
      <c r="O206">
        <v>1</v>
      </c>
      <c r="P206">
        <v>1</v>
      </c>
      <c r="Q206">
        <v>1</v>
      </c>
      <c r="R206" s="1" t="s">
        <v>638</v>
      </c>
      <c r="S206" s="1" t="s">
        <v>630</v>
      </c>
    </row>
    <row r="207" spans="1:19" x14ac:dyDescent="0.25">
      <c r="A207" s="1" t="s">
        <v>212</v>
      </c>
      <c r="B207" s="1" t="s">
        <v>474</v>
      </c>
      <c r="C207" s="1" t="s">
        <v>475</v>
      </c>
      <c r="D207" s="1" t="s">
        <v>962</v>
      </c>
      <c r="E207" s="1" t="s">
        <v>640</v>
      </c>
      <c r="F207" s="1" t="s">
        <v>477</v>
      </c>
      <c r="G207" s="1" t="s">
        <v>641</v>
      </c>
      <c r="H207" s="1" t="s">
        <v>640</v>
      </c>
      <c r="I207" s="1" t="s">
        <v>25</v>
      </c>
      <c r="J207" s="1" t="s">
        <v>642</v>
      </c>
      <c r="K207" s="1" t="s">
        <v>963</v>
      </c>
      <c r="L207" s="1" t="s">
        <v>964</v>
      </c>
      <c r="M207">
        <v>1</v>
      </c>
      <c r="N207">
        <v>1</v>
      </c>
      <c r="O207">
        <v>1</v>
      </c>
      <c r="P207">
        <v>1</v>
      </c>
      <c r="Q207">
        <v>1</v>
      </c>
      <c r="R207" s="1" t="s">
        <v>641</v>
      </c>
      <c r="S207" s="1" t="s">
        <v>630</v>
      </c>
    </row>
    <row r="208" spans="1:19" x14ac:dyDescent="0.25">
      <c r="A208" s="1" t="s">
        <v>149</v>
      </c>
      <c r="B208" s="1" t="s">
        <v>170</v>
      </c>
      <c r="C208" s="1" t="s">
        <v>192</v>
      </c>
      <c r="D208" s="1" t="s">
        <v>780</v>
      </c>
      <c r="E208" s="1" t="s">
        <v>360</v>
      </c>
      <c r="F208" s="1" t="s">
        <v>254</v>
      </c>
      <c r="G208" s="1" t="s">
        <v>643</v>
      </c>
      <c r="H208" s="1" t="s">
        <v>644</v>
      </c>
      <c r="I208" s="1" t="s">
        <v>96</v>
      </c>
      <c r="J208" s="1" t="s">
        <v>645</v>
      </c>
      <c r="K208" s="1" t="s">
        <v>965</v>
      </c>
      <c r="L208" s="1" t="s">
        <v>966</v>
      </c>
      <c r="M208">
        <v>0</v>
      </c>
      <c r="N208">
        <v>1</v>
      </c>
      <c r="O208">
        <v>1</v>
      </c>
      <c r="P208">
        <v>1</v>
      </c>
      <c r="Q208">
        <v>1</v>
      </c>
      <c r="R208" s="1" t="s">
        <v>643</v>
      </c>
      <c r="S208" s="1" t="s">
        <v>630</v>
      </c>
    </row>
    <row r="209" spans="1:19" x14ac:dyDescent="0.25">
      <c r="A209" s="1" t="s">
        <v>149</v>
      </c>
      <c r="B209" s="1" t="s">
        <v>150</v>
      </c>
      <c r="C209" s="1" t="s">
        <v>264</v>
      </c>
      <c r="D209" s="1" t="s">
        <v>753</v>
      </c>
      <c r="E209" s="1" t="s">
        <v>321</v>
      </c>
      <c r="F209" s="1" t="s">
        <v>266</v>
      </c>
      <c r="G209" s="1" t="s">
        <v>646</v>
      </c>
      <c r="H209" s="1" t="s">
        <v>636</v>
      </c>
      <c r="I209" s="1" t="s">
        <v>30</v>
      </c>
      <c r="J209" s="1" t="s">
        <v>647</v>
      </c>
      <c r="K209" s="1" t="s">
        <v>967</v>
      </c>
      <c r="L209" s="1" t="s">
        <v>968</v>
      </c>
      <c r="M209">
        <v>2</v>
      </c>
      <c r="N209">
        <v>1</v>
      </c>
      <c r="O209">
        <v>1</v>
      </c>
      <c r="P209">
        <v>1</v>
      </c>
      <c r="Q209">
        <v>1</v>
      </c>
      <c r="R209" s="1" t="s">
        <v>646</v>
      </c>
      <c r="S209" s="1" t="s">
        <v>630</v>
      </c>
    </row>
    <row r="210" spans="1:19" x14ac:dyDescent="0.25">
      <c r="A210" s="1" t="s">
        <v>149</v>
      </c>
      <c r="B210" s="1" t="s">
        <v>150</v>
      </c>
      <c r="C210" s="1" t="s">
        <v>264</v>
      </c>
      <c r="D210" s="1" t="s">
        <v>753</v>
      </c>
      <c r="E210" s="1" t="s">
        <v>321</v>
      </c>
      <c r="F210" s="1" t="s">
        <v>266</v>
      </c>
      <c r="G210" s="1" t="s">
        <v>648</v>
      </c>
      <c r="H210" s="1" t="s">
        <v>321</v>
      </c>
      <c r="I210" s="1" t="s">
        <v>16</v>
      </c>
      <c r="J210" s="1" t="s">
        <v>649</v>
      </c>
      <c r="K210" s="1" t="s">
        <v>969</v>
      </c>
      <c r="L210" s="1" t="s">
        <v>970</v>
      </c>
      <c r="M210">
        <v>2</v>
      </c>
      <c r="N210">
        <v>1</v>
      </c>
      <c r="O210">
        <v>1</v>
      </c>
      <c r="P210">
        <v>1</v>
      </c>
      <c r="Q210">
        <v>1</v>
      </c>
      <c r="R210" s="1" t="s">
        <v>648</v>
      </c>
      <c r="S210" s="1" t="s">
        <v>630</v>
      </c>
    </row>
    <row r="211" spans="1:19" x14ac:dyDescent="0.25">
      <c r="A211" s="1" t="s">
        <v>149</v>
      </c>
      <c r="B211" s="1" t="s">
        <v>170</v>
      </c>
      <c r="C211" s="1" t="s">
        <v>608</v>
      </c>
      <c r="D211" s="1" t="s">
        <v>971</v>
      </c>
      <c r="E211" s="1" t="s">
        <v>650</v>
      </c>
      <c r="F211" s="1" t="s">
        <v>610</v>
      </c>
      <c r="G211" s="1" t="s">
        <v>651</v>
      </c>
      <c r="H211" s="1" t="s">
        <v>636</v>
      </c>
      <c r="I211" s="1" t="s">
        <v>31</v>
      </c>
      <c r="J211" s="1" t="s">
        <v>652</v>
      </c>
      <c r="K211" s="1" t="s">
        <v>972</v>
      </c>
      <c r="L211" s="1" t="s">
        <v>973</v>
      </c>
      <c r="M211">
        <v>5</v>
      </c>
      <c r="N211">
        <v>0</v>
      </c>
      <c r="O211">
        <v>1</v>
      </c>
      <c r="P211">
        <v>1</v>
      </c>
      <c r="Q211">
        <v>1</v>
      </c>
      <c r="R211" s="1" t="s">
        <v>651</v>
      </c>
      <c r="S211" s="1" t="s">
        <v>630</v>
      </c>
    </row>
    <row r="212" spans="1:19" x14ac:dyDescent="0.25">
      <c r="A212" s="1" t="s">
        <v>149</v>
      </c>
      <c r="B212" s="1" t="s">
        <v>150</v>
      </c>
      <c r="C212" s="1" t="s">
        <v>158</v>
      </c>
      <c r="D212" s="1" t="s">
        <v>670</v>
      </c>
      <c r="E212" s="1" t="s">
        <v>165</v>
      </c>
      <c r="F212" s="1" t="s">
        <v>160</v>
      </c>
      <c r="G212" s="1" t="s">
        <v>653</v>
      </c>
      <c r="H212" s="1" t="s">
        <v>165</v>
      </c>
      <c r="I212" s="1" t="s">
        <v>0</v>
      </c>
      <c r="J212" s="1" t="s">
        <v>654</v>
      </c>
      <c r="K212" s="1" t="s">
        <v>974</v>
      </c>
      <c r="L212" s="1" t="s">
        <v>975</v>
      </c>
      <c r="M212">
        <v>6</v>
      </c>
      <c r="N212">
        <v>0</v>
      </c>
      <c r="O212">
        <v>1</v>
      </c>
      <c r="P212">
        <v>1</v>
      </c>
      <c r="Q212">
        <v>1</v>
      </c>
      <c r="R212" s="1" t="s">
        <v>653</v>
      </c>
      <c r="S212" s="1" t="s">
        <v>630</v>
      </c>
    </row>
    <row r="213" spans="1:19" x14ac:dyDescent="0.25">
      <c r="A213" s="1" t="s">
        <v>212</v>
      </c>
      <c r="B213" s="1" t="s">
        <v>213</v>
      </c>
      <c r="C213" s="1" t="s">
        <v>214</v>
      </c>
      <c r="D213" s="1" t="s">
        <v>692</v>
      </c>
      <c r="E213" s="1" t="s">
        <v>215</v>
      </c>
      <c r="F213" s="1" t="s">
        <v>216</v>
      </c>
      <c r="G213" s="1" t="s">
        <v>655</v>
      </c>
      <c r="H213" s="1" t="s">
        <v>215</v>
      </c>
      <c r="I213" s="1" t="s">
        <v>76</v>
      </c>
      <c r="J213" s="1" t="s">
        <v>656</v>
      </c>
      <c r="K213" s="1" t="s">
        <v>976</v>
      </c>
      <c r="L213" s="1" t="s">
        <v>977</v>
      </c>
      <c r="M213">
        <v>0</v>
      </c>
      <c r="N213">
        <v>1</v>
      </c>
      <c r="O213">
        <v>1</v>
      </c>
      <c r="P213">
        <v>1</v>
      </c>
      <c r="Q213">
        <v>1</v>
      </c>
      <c r="R213" s="1" t="s">
        <v>655</v>
      </c>
      <c r="S213" s="1" t="s">
        <v>630</v>
      </c>
    </row>
    <row r="214" spans="1:19" x14ac:dyDescent="0.25">
      <c r="A214" s="1" t="s">
        <v>149</v>
      </c>
      <c r="B214" s="1" t="s">
        <v>150</v>
      </c>
      <c r="C214" s="1" t="s">
        <v>264</v>
      </c>
      <c r="D214" s="1" t="s">
        <v>720</v>
      </c>
      <c r="E214" s="1" t="s">
        <v>265</v>
      </c>
      <c r="F214" s="1" t="s">
        <v>266</v>
      </c>
      <c r="G214" s="1" t="s">
        <v>657</v>
      </c>
      <c r="H214" s="1" t="s">
        <v>265</v>
      </c>
      <c r="I214" s="1" t="s">
        <v>30</v>
      </c>
      <c r="J214" s="1" t="s">
        <v>658</v>
      </c>
      <c r="K214" s="1" t="s">
        <v>978</v>
      </c>
      <c r="L214" s="1" t="s">
        <v>979</v>
      </c>
      <c r="M214">
        <v>14</v>
      </c>
      <c r="N214">
        <v>0</v>
      </c>
      <c r="O214">
        <v>0</v>
      </c>
      <c r="P214">
        <v>1</v>
      </c>
      <c r="Q214">
        <v>1</v>
      </c>
      <c r="R214" s="1" t="s">
        <v>657</v>
      </c>
      <c r="S214" s="1" t="s">
        <v>630</v>
      </c>
    </row>
    <row r="215" spans="1:19" x14ac:dyDescent="0.25">
      <c r="A215" s="1" t="s">
        <v>149</v>
      </c>
      <c r="B215" s="1" t="s">
        <v>170</v>
      </c>
      <c r="C215" s="1" t="s">
        <v>247</v>
      </c>
      <c r="D215" s="1" t="s">
        <v>711</v>
      </c>
      <c r="E215" s="1" t="s">
        <v>248</v>
      </c>
      <c r="F215" s="1" t="s">
        <v>249</v>
      </c>
      <c r="G215" s="1" t="s">
        <v>659</v>
      </c>
      <c r="H215" s="1" t="s">
        <v>248</v>
      </c>
      <c r="I215" s="1" t="s">
        <v>87</v>
      </c>
      <c r="J215" s="1" t="s">
        <v>660</v>
      </c>
      <c r="K215" s="1" t="s">
        <v>980</v>
      </c>
      <c r="L215" s="1" t="s">
        <v>981</v>
      </c>
      <c r="M215">
        <v>13</v>
      </c>
      <c r="N215">
        <v>0</v>
      </c>
      <c r="O215">
        <v>0</v>
      </c>
      <c r="P215">
        <v>1</v>
      </c>
      <c r="Q215">
        <v>1</v>
      </c>
      <c r="R215" s="1" t="s">
        <v>659</v>
      </c>
      <c r="S215" s="1" t="s">
        <v>630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180A20-94A7-409C-9F6A-7D954912EF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各管道每日加入人數</vt:lpstr>
      <vt:lpstr>Data_回覆時程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陳奕廷-職域開發專案</dc:creator>
  <cp:lastModifiedBy>陳奕廷 Yi Ting Chen - KGIL</cp:lastModifiedBy>
  <dcterms:created xsi:type="dcterms:W3CDTF">2026-01-07T02:41:24Z</dcterms:created>
  <dcterms:modified xsi:type="dcterms:W3CDTF">2026-04-09T01:45:44Z</dcterms:modified>
</cp:coreProperties>
</file>